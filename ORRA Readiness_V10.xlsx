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timneill/Claude/Projects/Readiness Assessment Tool/"/>
    </mc:Choice>
  </mc:AlternateContent>
  <xr:revisionPtr revIDLastSave="0" documentId="11_69D316476B45B5A6893785C7CC3420FBBE233D5B" xr6:coauthVersionLast="47" xr6:coauthVersionMax="47" xr10:uidLastSave="{00000000-0000-0000-0000-000000000000}"/>
  <bookViews>
    <workbookView xWindow="0" yWindow="660" windowWidth="29400" windowHeight="18460" tabRatio="500" activeTab="1" xr2:uid="{00000000-000D-0000-FFFF-FFFF00000000}"/>
  </bookViews>
  <sheets>
    <sheet name="CLIENT USER GUIDE" sheetId="1" r:id="rId1"/>
    <sheet name="Step1. Assessment" sheetId="2" r:id="rId2"/>
    <sheet name="Step2. Country Risk" sheetId="3" r:id="rId3"/>
    <sheet name="Step3. Activity &amp; Op Exposure" sheetId="4" r:id="rId4"/>
    <sheet name="Step4. Dashboard" sheetId="5" r:id="rId5"/>
    <sheet name="STEP5. Acting on Your Results" sheetId="6" r:id="rId6"/>
    <sheet name="Copyright" sheetId="7" r:id="rId7"/>
    <sheet name="About Maravi"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8" i="5" l="1"/>
  <c r="B24" i="5"/>
  <c r="B23" i="5"/>
  <c r="B22" i="5"/>
  <c r="B21" i="5"/>
  <c r="B20" i="5"/>
  <c r="B19" i="5"/>
  <c r="C6" i="4"/>
  <c r="C7" i="4" s="1"/>
  <c r="C5" i="4"/>
  <c r="D27" i="3"/>
  <c r="E27" i="3" s="1"/>
  <c r="D26" i="3"/>
  <c r="E26" i="3" s="1"/>
  <c r="D25" i="3"/>
  <c r="E25" i="3" s="1"/>
  <c r="E24" i="3"/>
  <c r="D24" i="3"/>
  <c r="D23" i="3"/>
  <c r="E23" i="3" s="1"/>
  <c r="D22" i="3"/>
  <c r="E22" i="3" s="1"/>
  <c r="D21" i="3"/>
  <c r="E21" i="3" s="1"/>
  <c r="E20" i="3"/>
  <c r="D20" i="3"/>
  <c r="D19" i="3"/>
  <c r="E19" i="3" s="1"/>
  <c r="D18" i="3"/>
  <c r="E18" i="3" s="1"/>
  <c r="D17" i="3"/>
  <c r="E17" i="3" s="1"/>
  <c r="E16" i="3"/>
  <c r="D16" i="3"/>
  <c r="C15" i="3"/>
  <c r="D15" i="3" s="1"/>
  <c r="E15" i="3" s="1"/>
  <c r="C14" i="3"/>
  <c r="D14" i="3" s="1"/>
  <c r="E14" i="3" s="1"/>
  <c r="E13" i="3"/>
  <c r="D13" i="3"/>
  <c r="C13" i="3"/>
  <c r="C12" i="3"/>
  <c r="D12" i="3" s="1"/>
  <c r="E12" i="3" s="1"/>
  <c r="C11" i="3"/>
  <c r="D11" i="3" s="1"/>
  <c r="E11" i="3" s="1"/>
  <c r="C10" i="3"/>
  <c r="D10" i="3" s="1"/>
  <c r="E10" i="3" s="1"/>
  <c r="C9" i="3"/>
  <c r="D9" i="3" s="1"/>
  <c r="E9" i="3" s="1"/>
  <c r="F8" i="3"/>
  <c r="E8" i="3"/>
  <c r="D8" i="3"/>
  <c r="C8" i="3"/>
  <c r="F7" i="3"/>
  <c r="C7" i="3"/>
  <c r="D7" i="3" s="1"/>
  <c r="E7" i="3" s="1"/>
  <c r="F6" i="3"/>
  <c r="C6" i="3"/>
  <c r="E59" i="2"/>
  <c r="E58" i="2"/>
  <c r="E57" i="2"/>
  <c r="E56" i="2"/>
  <c r="E55" i="2"/>
  <c r="B35" i="5" s="1"/>
  <c r="C35" i="5" s="1"/>
  <c r="E54" i="2"/>
  <c r="E53" i="2"/>
  <c r="E52" i="2"/>
  <c r="E51" i="2"/>
  <c r="E50" i="2"/>
  <c r="E49" i="2"/>
  <c r="B34" i="5" s="1"/>
  <c r="C34" i="5" s="1"/>
  <c r="E48" i="2"/>
  <c r="E47" i="2"/>
  <c r="E46" i="2"/>
  <c r="E45" i="2"/>
  <c r="E44" i="2"/>
  <c r="E43" i="2"/>
  <c r="E42" i="2"/>
  <c r="B33" i="5" s="1"/>
  <c r="C33" i="5" s="1"/>
  <c r="E41" i="2"/>
  <c r="E40" i="2"/>
  <c r="E39" i="2"/>
  <c r="E38" i="2"/>
  <c r="E37" i="2"/>
  <c r="B32" i="5" s="1"/>
  <c r="C32" i="5" s="1"/>
  <c r="E36" i="2"/>
  <c r="E35" i="2"/>
  <c r="E34" i="2"/>
  <c r="E33" i="2"/>
  <c r="E32" i="2"/>
  <c r="E31" i="2"/>
  <c r="E30" i="2"/>
  <c r="E29" i="2"/>
  <c r="B31" i="5" s="1"/>
  <c r="C31" i="5" s="1"/>
  <c r="E28" i="2"/>
  <c r="E27" i="2"/>
  <c r="E26" i="2"/>
  <c r="E25" i="2"/>
  <c r="E24" i="2"/>
  <c r="E23" i="2"/>
  <c r="E22" i="2"/>
  <c r="E21" i="2"/>
  <c r="E20" i="2"/>
  <c r="E19" i="2"/>
  <c r="E18" i="2"/>
  <c r="E17" i="2"/>
  <c r="B30" i="5" s="1"/>
  <c r="C30" i="5" s="1"/>
  <c r="E16" i="2"/>
  <c r="E15" i="2"/>
  <c r="E14" i="2"/>
  <c r="E13" i="2"/>
  <c r="E12" i="2"/>
  <c r="E11" i="2"/>
  <c r="E10" i="2"/>
  <c r="B29" i="5" s="1"/>
  <c r="C29" i="5" s="1"/>
  <c r="E9" i="2"/>
  <c r="E8" i="2"/>
  <c r="E7" i="2"/>
  <c r="E6" i="2"/>
  <c r="E5" i="2"/>
  <c r="A30" i="6"/>
  <c r="A29" i="6"/>
  <c r="A28" i="6"/>
  <c r="A27" i="6"/>
  <c r="A26" i="6"/>
  <c r="A25" i="6"/>
  <c r="A24" i="6"/>
  <c r="A23" i="6"/>
  <c r="B11" i="5" l="1"/>
  <c r="C28" i="5"/>
  <c r="A22" i="6" s="1"/>
  <c r="B12" i="5" l="1"/>
  <c r="D6" i="3"/>
  <c r="E6" i="3" s="1"/>
  <c r="B13" i="5"/>
  <c r="B15" i="5" l="1"/>
  <c r="B14" i="5"/>
  <c r="A12" i="6"/>
  <c r="A10" i="6"/>
  <c r="A11" i="6"/>
</calcChain>
</file>

<file path=xl/sharedStrings.xml><?xml version="1.0" encoding="utf-8"?>
<sst xmlns="http://schemas.openxmlformats.org/spreadsheetml/2006/main" count="364" uniqueCount="240">
  <si>
    <t>ORRA FIELD READINESS TOOL</t>
  </si>
  <si>
    <t>Client User Guide</t>
  </si>
  <si>
    <t>1. PURPOSE OF THE TOOL</t>
  </si>
  <si>
    <t>This tool helps you answer two key questions:</t>
  </si>
  <si>
    <t>What risk management capability do we have?</t>
  </si>
  <si>
    <t>Is that capability sufficient for our operating context?</t>
  </si>
  <si>
    <t>It does this by:</t>
  </si>
  <si>
    <t>Assessing your internal capability (theoretical readiness)</t>
  </si>
  <si>
    <t>Adjusting this based on your operating environment, activities, and operational complexity, to provide your actual readiness</t>
  </si>
  <si>
    <t>At the end, the tool provides:</t>
  </si>
  <si>
    <t>An assessment of your actual readiness, tailored to your operating environment, activities, and country context</t>
  </si>
  <si>
    <t>Your strengths and weaknesses across key areas (Governance, Risk, Security, Crisis, BCP, People, Operations, Assurance)</t>
  </si>
  <si>
    <t>The distribution of maturity across your organisation (Governance, Risk, Security, Crisis, BCP, People, Operations, Assurance)</t>
  </si>
  <si>
    <t>2. HOW TO USE THE TOOL</t>
  </si>
  <si>
    <t>Follow these steps in order.</t>
  </si>
  <si>
    <t>STEP 1 – ASSESSMENT</t>
  </si>
  <si>
    <t>Go to the Assessment tab.</t>
  </si>
  <si>
    <t>Answer each question based on current practice across your organisation.</t>
  </si>
  <si>
    <t>Select one of the following for each question:</t>
  </si>
  <si>
    <t>No / None = Not in place</t>
  </si>
  <si>
    <t>Ad hoc = Informal or inconsistent</t>
  </si>
  <si>
    <t>Partial = Some elements in place but gaps remain</t>
  </si>
  <si>
    <t>Formal = Defined and generally implemented</t>
  </si>
  <si>
    <t>Embedded = Fully integrated and consistently applied</t>
  </si>
  <si>
    <t>N/A = Not applicable</t>
  </si>
  <si>
    <t>Be realistic. Answer based on what actually happens, not intended practice.</t>
  </si>
  <si>
    <t>The tool averages all responses and converts the result into a percentage (0–100%).</t>
  </si>
  <si>
    <t>For example: Mostly “Formal” responses will result in a score of approximately 75%.</t>
  </si>
  <si>
    <t>STEP 2 – COUNTRY RISK</t>
  </si>
  <si>
    <t>Go to the Country Risk tab. Enter the countries you operate in. Your Maravi Consultant will complete the risk assessment for each.</t>
  </si>
  <si>
    <t>The country risk level you operate in affects your overall Actual Readiness score — higher-risk countries require greater capability.</t>
  </si>
  <si>
    <t>In column A, enter the list of countries in which you operate.</t>
  </si>
  <si>
    <t>Your Maravi Consultant will complete the risk level for each country using Maravi's proprietary country risk tool.</t>
  </si>
  <si>
    <t>Your consultant will explain the country risk scores and what they mean for your organisation.</t>
  </si>
  <si>
    <t>STEP 3 – ACTIVITY AND OPERATIONAL EXPOSURE</t>
  </si>
  <si>
    <t>Go to the Activity Risk tab.</t>
  </si>
  <si>
    <t>In Column B, complete the following:</t>
  </si>
  <si>
    <t>High-risk activity: Select YES if your organisation undertakes higher-risk activities (e.g. enforcement, investigations, high-threat environments). Otherwise select NO.</t>
  </si>
  <si>
    <t>Operational footprint: Select one:</t>
  </si>
  <si>
    <t xml:space="preserve"> Single site</t>
  </si>
  <si>
    <t>Multiple sites (same country)</t>
  </si>
  <si>
    <t>Multi-country / remote operations</t>
  </si>
  <si>
    <t>STEP 4 – DASHBOARD</t>
  </si>
  <si>
    <t>Go to the Dashboard tab, which summarises your results and provides an overall interpretation.</t>
  </si>
  <si>
    <t>The dashboard includes:</t>
  </si>
  <si>
    <t>Theoretical Readiness Score</t>
  </si>
  <si>
    <t>This is expressed as a percentage, and determines your capability level, as shown below</t>
  </si>
  <si>
    <t>Theoretical Readiness Level</t>
  </si>
  <si>
    <t>Below 30% = Critical</t>
  </si>
  <si>
    <t>30–50% = Fragile</t>
  </si>
  <si>
    <t>50–70% = Developing</t>
  </si>
  <si>
    <t>70–85% = Operational</t>
  </si>
  <si>
    <t>Above 85% = Mature</t>
  </si>
  <si>
    <t>Actual  Readiness (your capability in context)</t>
  </si>
  <si>
    <t>Summary description</t>
  </si>
  <si>
    <t>Summary charts and tables</t>
  </si>
  <si>
    <t>STEP 5 – ACTING ON YOUR RESULTS</t>
  </si>
  <si>
    <t xml:space="preserve">Review the identified priority areas and consider where strengthening capability will have the greatest impact. </t>
  </si>
  <si>
    <t xml:space="preserve">Focus on areas where systems are less developed or not consistently applied. </t>
  </si>
  <si>
    <t>The results should be used to support discussion, prioritisation, and planning of improvements.</t>
  </si>
  <si>
    <t>3. HOW SCORING WORKS</t>
  </si>
  <si>
    <t>Theoretical Readiness shows what capability you have, suitable for a single-country, low risk activity(, in a low risk country????)</t>
  </si>
  <si>
    <t>Actual Readiness shows whether that capability is sufficient for your level of exposure to risk.</t>
  </si>
  <si>
    <t>Your exposure to risk increases with high risk activities, multi-country operations and operation in high risk countries</t>
  </si>
  <si>
    <t>Based on your answers in Steps 1, 2 and 3, we calculate your Actual Readiness</t>
  </si>
  <si>
    <t>If the adjusted score is significantly lower than the theoretical score, your Maravi consultant will advise on how to …XXXXX</t>
  </si>
  <si>
    <t>HOW ADJUSTMENTS WORK</t>
  </si>
  <si>
    <t>Your Theoretical Readiness is adjusted based on the nature of your activities, the complexity of your operations, and the risk level of the countries you work in. Together these reflect the level of capability your organisation actually needs given its operating context.</t>
  </si>
  <si>
    <t>HIGH-RISK ACTIVITY: Organisations undertaking high-risk activities (such as work in high-threat environments, enforcement, or investigations) require a significantly higher level of capability. Your score is adjusted to reflect this increased demand.</t>
  </si>
  <si>
    <t>This reflects that high-risk activities require a significantly higher level of capability.</t>
  </si>
  <si>
    <t>OPERATIONAL COMPLEXITY: The broader and more distributed your operations, the greater the capability required to manage them safely and effectively.</t>
  </si>
  <si>
    <t>Single site: no adjustment</t>
  </si>
  <si>
    <t>Multiple sites (same country): modest adjustment — somewhat more capability required</t>
  </si>
  <si>
    <t>Multi-country or remote operations: greater adjustment — significantly more capability required</t>
  </si>
  <si>
    <t>COUNTRY RISK: Operating in higher-risk countries increases the level of capability required. Your consultant assesses each country using Maravi's country risk tool. The highest-risk country you operate in contributes to your overall Actual Readiness score.</t>
  </si>
  <si>
    <t>Example:</t>
  </si>
  <si>
    <t>Theoretical Readiness = 75%; Level = Operational</t>
  </si>
  <si>
    <t>High-risk activity = Yes → divide by 1.8</t>
  </si>
  <si>
    <t>Multi-country operations → divide by 1.4</t>
  </si>
  <si>
    <t>Actual Readiness (adjusted for context) ≈ 30%; Level = Critical</t>
  </si>
  <si>
    <t>WHAT THIS MEANS</t>
  </si>
  <si>
    <t>If the adjustments results in your score 'dropping', this does not mean your organisation is weaker.</t>
  </si>
  <si>
    <t>It reflects that your operating environment and activities may require a higher level of readiness.</t>
  </si>
  <si>
    <t>Your consultant will advise what this means in practice: a policy gap, and implementation gap, a staffing gap etc</t>
  </si>
  <si>
    <t>4. IMPORTANT NOTES</t>
  </si>
  <si>
    <t>This tool will give you insight into: Are we good enough for what we are doing?</t>
  </si>
  <si>
    <t>Be honest in your responses. The tool is designed to reflect reality.</t>
  </si>
  <si>
    <t>High-risk activities and complex operations increase what is required to operate safely.</t>
  </si>
  <si>
    <t>This is not a compliance tool. It is designed to support reflection and decision-making.</t>
  </si>
  <si>
    <t>The results should be used to identify areas for improvement and start discussion.</t>
  </si>
  <si>
    <t>STEP 1: ASSESSMENT</t>
  </si>
  <si>
    <t>Select one response per question. Answer based on what actually happens, not intended practice.</t>
  </si>
  <si>
    <t>No.</t>
  </si>
  <si>
    <t>Section</t>
  </si>
  <si>
    <t>Question</t>
  </si>
  <si>
    <t>Response</t>
  </si>
  <si>
    <t>Score</t>
  </si>
  <si>
    <t>What to select</t>
  </si>
  <si>
    <t>Governance</t>
  </si>
  <si>
    <t>How clearly defined is leadership accountability for risk, security, and crisis management?</t>
  </si>
  <si>
    <t>Formal</t>
  </si>
  <si>
    <t>No / None</t>
  </si>
  <si>
    <t>0</t>
  </si>
  <si>
    <t>Not defined and not implemented. No clear structure, process, or approach is in place.</t>
  </si>
  <si>
    <t>To what extent is senior management actively engaged in risk and security oversight?</t>
  </si>
  <si>
    <t>Ad hoc / Informal</t>
  </si>
  <si>
    <t>1</t>
  </si>
  <si>
    <t>Not formally defined, but some informal or inconsistent practice exists. Activities may happen but are unplanned or unreliable.</t>
  </si>
  <si>
    <t>How well integrated are risk and security considerations into organisational decision-making?</t>
  </si>
  <si>
    <t>Partial / Infrequent</t>
  </si>
  <si>
    <t>2</t>
  </si>
  <si>
    <t>Some elements exist but are incomplete, inconsistently applied, or gaps remain in practice.</t>
  </si>
  <si>
    <t>To what extent are roles and responsibilities for risk and security clearly defined across the organisation?</t>
  </si>
  <si>
    <t>3</t>
  </si>
  <si>
    <t>Formally defined and consistently implemented across most of the organisation. Processes are clearly documented and communicated.</t>
  </si>
  <si>
    <t>How effectively are resources allocated to risk, security, and resilience functions?</t>
  </si>
  <si>
    <t>Embedded</t>
  </si>
  <si>
    <t>4</t>
  </si>
  <si>
    <t>Fully integrated and consistently applied across the organisation. Routinely used in decision-making and continuously improved.</t>
  </si>
  <si>
    <t>Risk</t>
  </si>
  <si>
    <t>How developed and consistently applied is your organisation-wide risk assessment process?</t>
  </si>
  <si>
    <t>N/A</t>
  </si>
  <si>
    <t>–</t>
  </si>
  <si>
    <t>Not applicable. Use only where a question genuinely does not apply — not as a substitute for No / None.</t>
  </si>
  <si>
    <t>How well defined and standardised is your risk assessment methodology?</t>
  </si>
  <si>
    <t>How frequently are risk assessments conducted and updated?</t>
  </si>
  <si>
    <t>How comprehensive and current is your risk register?</t>
  </si>
  <si>
    <t>To what extent is the risk register actively used in decision-making?</t>
  </si>
  <si>
    <t>How clearly are risk owners assigned and held accountable?</t>
  </si>
  <si>
    <t>How systematically are risks monitored and reviewed over time?</t>
  </si>
  <si>
    <t>Security</t>
  </si>
  <si>
    <t>How comprehensive and implemented is your organisation-wide security policy?</t>
  </si>
  <si>
    <t>How well developed are country or site-specific security plans?</t>
  </si>
  <si>
    <t>How regularly are security plans reviewed and updated?</t>
  </si>
  <si>
    <t>How effectively are security risks assessed at the field level?</t>
  </si>
  <si>
    <t>How robust are access controls and physical security measures across locations?</t>
  </si>
  <si>
    <t>How developed are journey management procedures?</t>
  </si>
  <si>
    <t>How effective are communication systems for staff safety and security?</t>
  </si>
  <si>
    <t>How well defined and understood are incident reporting procedures?</t>
  </si>
  <si>
    <t>How consistently are security incidents reported?</t>
  </si>
  <si>
    <t>How effectively are security incidents analysed and acted upon?</t>
  </si>
  <si>
    <t>How effectively does the organisation monitor and adapt to changes in the operating environment and threat context?</t>
  </si>
  <si>
    <t>Crisis</t>
  </si>
  <si>
    <t>How developed and operational is your crisis management framework (plans, structures, processes)?</t>
  </si>
  <si>
    <t>How clearly defined is your crisis management team structure?</t>
  </si>
  <si>
    <t>How well documented and understood are crisis roles and responsibilities?</t>
  </si>
  <si>
    <t>To what extent is a 24/7 escalation and decision-making structure in place?</t>
  </si>
  <si>
    <t>How effective are crisis communications processes (internal and external)?</t>
  </si>
  <si>
    <t>How regularly are crisis management plans tested or exercised?</t>
  </si>
  <si>
    <t>How effectively are lessons from exercises incorporated into improvements?</t>
  </si>
  <si>
    <t>How effective is decision-making during crisis situations, including clarity, speed, and authority?</t>
  </si>
  <si>
    <t>BCP</t>
  </si>
  <si>
    <t>How developed and operational is your business continuity planning framework?</t>
  </si>
  <si>
    <t>How well identified are critical functions, dependencies and points of failure?</t>
  </si>
  <si>
    <t>How clearly defined are recovery priorities and timelines?</t>
  </si>
  <si>
    <t>How robust are recovery strategies for key operational disruptions?</t>
  </si>
  <si>
    <t>How regularly is business continuity capability tested?</t>
  </si>
  <si>
    <t>How effectively are BCP lessons integrated into planning?</t>
  </si>
  <si>
    <t>People</t>
  </si>
  <si>
    <t>How systematically are staff trained in security awareness and field safety?</t>
  </si>
  <si>
    <t>How systematically are staff trained in first aid?</t>
  </si>
  <si>
    <t>How appropriate is training for different roles and risk exposure levels?</t>
  </si>
  <si>
    <t>How effectively are managers trained in crisis and incident response?</t>
  </si>
  <si>
    <t>How consistently is training refreshed or updated?</t>
  </si>
  <si>
    <t>How well prepared are staff for deployment into higher-risk environments?</t>
  </si>
  <si>
    <t>How well defined and implemented are duty of care and safeguarding responsibilities?</t>
  </si>
  <si>
    <t>Operations</t>
  </si>
  <si>
    <t>How comprehensive and consistently applied are standard operating procedures (SOPs)?</t>
  </si>
  <si>
    <t>How well are pre-deployment briefings conducted and tailored to context?</t>
  </si>
  <si>
    <t>How effectively are field activities supervised and managed?</t>
  </si>
  <si>
    <t>How consistent are operational practices across countries and sites?</t>
  </si>
  <si>
    <t>How well are remote or isolated work activities managed?</t>
  </si>
  <si>
    <t>How effectively are movement, transport, and logistics managed in higher-risk environments?</t>
  </si>
  <si>
    <t>Assurance</t>
  </si>
  <si>
    <t>How systematically are policies, plans, and procedures reviewed?</t>
  </si>
  <si>
    <t>How effectively are audits or internal reviews conducted?</t>
  </si>
  <si>
    <t>How well are lessons from incidents captured?</t>
  </si>
  <si>
    <t>How consistently are lessons learned integrated into practice?</t>
  </si>
  <si>
    <t>How effectively does the organisation adapt its systems based on emerging risks?</t>
  </si>
  <si>
    <t>STEP 2: COUNTRY RISK</t>
  </si>
  <si>
    <t>Enter the name of each country you operate in (one per row). Your Maravi Consultant will assess the risk level for each country.</t>
  </si>
  <si>
    <t>Country risk scores will be explained by your consultant and will affect your overall Actual Readiness score.</t>
  </si>
  <si>
    <t>Country</t>
  </si>
  <si>
    <t>Risk Level</t>
  </si>
  <si>
    <t>Multiplier</t>
  </si>
  <si>
    <t>Adjusted Readiness</t>
  </si>
  <si>
    <t>Status</t>
  </si>
  <si>
    <t>Impact</t>
  </si>
  <si>
    <t>malawi</t>
  </si>
  <si>
    <t>Severe</t>
  </si>
  <si>
    <t>STEP 3: ACTIVITY &amp; OPERATIONAL EXPOSURE</t>
  </si>
  <si>
    <t>Select your answers in column B.</t>
  </si>
  <si>
    <t>Your Response</t>
  </si>
  <si>
    <t>Does your organisation undertake high-risk activities?
High-risk activities include work in high-threat environments, enforcement or investigation activities, or operations where staff are exposed to significant security, safety, travel or reputational risks.</t>
  </si>
  <si>
    <t>Yes</t>
  </si>
  <si>
    <t>How complex is your operational footprint?
This reflects how widely and complexly your operations are delivered. 
   Single site: One primary operational location  
   Multiple sites: Several locations within one country 
   Multi-country / remote operations: Activities across multiple countries or remotely managed teams</t>
  </si>
  <si>
    <t>Exposure Adjustment Factor</t>
  </si>
  <si>
    <t>STEP 4: DASHBOARD</t>
  </si>
  <si>
    <t>Results are calculated automatically. No input required on this tab.</t>
  </si>
  <si>
    <t>Actual readiness reflects your capability adjusted for context — including the nature of your activities, operational complexity, and the countries you work in.</t>
  </si>
  <si>
    <t>Key Metrics</t>
  </si>
  <si>
    <t>Result</t>
  </si>
  <si>
    <t>Explanation</t>
  </si>
  <si>
    <t>Actual Readiness (adjusted for activity, complexity, and country risk)</t>
  </si>
  <si>
    <t>Actual Readiness Level (adjusted for context: see below)</t>
  </si>
  <si>
    <t>Count of questionnaire responses</t>
  </si>
  <si>
    <t>Count</t>
  </si>
  <si>
    <t>Ad hoc</t>
  </si>
  <si>
    <t>Partial</t>
  </si>
  <si>
    <t>Priority</t>
  </si>
  <si>
    <t>STEP 5: ACTING ON YOUR RESULTS</t>
  </si>
  <si>
    <t>Next Steps</t>
  </si>
  <si>
    <t>The priority areas identified above indicate where strengthening efforts should be focused in order to align capability with operational demands.
Next steps should involve reviewing these areas in more detail in conjunction with Maravi and determining where improvements will have the greatest impact on operational readiness.
This may include clarifying roles and responsibilities, strengthening processes, increasing consistency of implementation, and ensuring systems are appropriately scaled to the organisation’s operating environment.
The results of this assessment are intended to support informed decision-making and can be used as the basis for further planning and capability development.</t>
  </si>
  <si>
    <t>Executive Summary</t>
  </si>
  <si>
    <t xml:space="preserve">What Your Score Means </t>
  </si>
  <si>
    <t>A significant difference between base and adjusted readiness typically indicates that the level of operational exposure exceeds current organisational capability. This does not necessarily indicate weak systems, but rather that the demands of the operating context are higher than those systems are currently designed to support.</t>
  </si>
  <si>
    <t>The adjusted readiness score reflects the demands of your operating environment, including the nature of your activities and the complexity of your operational footprint. Higher-risk activities and more complex or distributed operations increase the level of capability required to operate effectively and safely.</t>
  </si>
  <si>
    <t>Using Your Results: Priority Areas</t>
  </si>
  <si>
    <t>The results should be used to identify gaps between current capability and operational requirements. Particular attention should be given to areas where capability is less developed or where systems are not consistently applied across the organisation.</t>
  </si>
  <si>
    <t>Strengthen leadership accountability and oversight</t>
  </si>
  <si>
    <t>Formalise and consistently apply risk assessment processes</t>
  </si>
  <si>
    <t>Strengthen security planning and incident reporting</t>
  </si>
  <si>
    <t>Establish and test crisis management capability</t>
  </si>
  <si>
    <t>Develop business continuity planning and recovery capability</t>
  </si>
  <si>
    <t>Improve staff training and preparedness for higher-risk environments</t>
  </si>
  <si>
    <t>Standardise operational processes and strengthen supervision</t>
  </si>
  <si>
    <t>Strengthen review processes and integration of lessons learned</t>
  </si>
  <si>
    <t>Getting Started</t>
  </si>
  <si>
    <t>To discuss your results, explore what they mean in practice, and agree priorities for strengthening readiness, please contact your Maravi consultant:</t>
  </si>
  <si>
    <t>[Consultant name]  ·  [Email address]  ·  [Phone number]</t>
  </si>
  <si>
    <t>www.maravi.co.uk  ·  info@maravi.co.uk</t>
  </si>
  <si>
    <t>Copyright</t>
  </si>
  <si>
    <t>© Maravi Group Ltd. All rights reserved.</t>
  </si>
  <si>
    <t>This tool and its contents are the intellectual property of Maravi Group Ltd. It may not be reproduced, distributed, or used without prior written consent.</t>
  </si>
  <si>
    <t>www.maravi.co.uk</t>
  </si>
  <si>
    <t>About Maravi Group</t>
  </si>
  <si>
    <t>Maravi Group provides specialist risk, security, and resilience advisory services to organisations operating in complex and challenging environments.</t>
  </si>
  <si>
    <t>We help organisations understand and manage operational risk, strengthen security and crisis management capability, and build resilience across their operations.</t>
  </si>
  <si>
    <t>This tool was developed by Maravi Group as part of our approach to supporting clients through structured, evidence-based readiness assessment.</t>
  </si>
  <si>
    <t>Contact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</si>
</sst>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charset val="1"/>
    </font>
    <font>
      <sz val="11"/>
      <color theme="1"/>
      <name val="Aptos Narrow"/>
      <family val="2"/>
      <charset val="1"/>
    </font>
    <font>
      <sz val="11"/>
      <color rgb="FFFF0000"/>
      <name val="Aptos Narrow"/>
      <family val="2"/>
      <charset val="1"/>
    </font>
    <font>
      <b/>
      <sz val="14"/>
      <color rgb="FFFFFFFF"/>
      <name val="Calibri"/>
      <family val="2"/>
    </font>
    <font>
      <i/>
      <sz val="9"/>
      <color rgb="FFD0E4F7"/>
      <name val="Calibri"/>
      <family val="2"/>
    </font>
    <font>
      <sz val="11"/>
      <color rgb="FF002A41"/>
      <name val="Aptos Narrow"/>
      <family val="2"/>
      <charset val="1"/>
    </font>
    <font>
      <b/>
      <sz val="11"/>
      <color rgb="FF002A41"/>
      <name val="Aptos Narrow"/>
      <family val="2"/>
      <charset val="1"/>
    </font>
    <font>
      <b/>
      <u/>
      <sz val="11"/>
      <color rgb="FF002A41"/>
      <name val="Aptos Narrow"/>
      <family val="2"/>
      <charset val="1"/>
    </font>
    <font>
      <b/>
      <u/>
      <sz val="11"/>
      <color rgb="FFFF0000"/>
      <name val="Aptos Narrow"/>
      <family val="2"/>
      <charset val="1"/>
    </font>
    <font>
      <b/>
      <u/>
      <sz val="11"/>
      <color theme="8" tint="-0.499984740745262"/>
      <name val="Aptos Narrow"/>
      <family val="2"/>
      <charset val="1"/>
    </font>
    <font>
      <b/>
      <sz val="11"/>
      <color rgb="FFFF0000"/>
      <name val="Aptos Narrow"/>
      <family val="2"/>
      <charset val="1"/>
    </font>
    <font>
      <b/>
      <u/>
      <sz val="11"/>
      <color theme="1"/>
      <name val="Aptos Narrow"/>
      <family val="2"/>
      <charset val="1"/>
    </font>
    <font>
      <sz val="11"/>
      <name val="Calibri"/>
      <family val="2"/>
    </font>
    <font>
      <b/>
      <sz val="10"/>
      <color rgb="FFFFFFFF"/>
      <name val="Calibri"/>
      <family val="2"/>
    </font>
    <font>
      <sz val="10"/>
      <color rgb="FF1A1A1A"/>
      <name val="Calibri"/>
      <family val="2"/>
    </font>
    <font>
      <b/>
      <sz val="10"/>
      <color rgb="FF1A1A1A"/>
      <name val="Calibri"/>
      <family val="2"/>
    </font>
    <font>
      <b/>
      <sz val="9"/>
      <color rgb="FF1A1A1A"/>
      <name val="Calibri"/>
      <family val="2"/>
    </font>
    <font>
      <sz val="9"/>
      <color rgb="FF1A1A1A"/>
      <name val="Calibri"/>
      <family val="2"/>
    </font>
    <font>
      <b/>
      <sz val="11"/>
      <color theme="8" tint="-0.499984740745262"/>
      <name val="Aptos Narrow"/>
      <family val="2"/>
      <charset val="1"/>
    </font>
    <font>
      <b/>
      <sz val="11"/>
      <color rgb="FF1E5A9F"/>
      <name val="Aptos Narrow"/>
      <family val="2"/>
      <charset val="1"/>
    </font>
    <font>
      <sz val="11"/>
      <color rgb="FF1E5A9F"/>
      <name val="Aptos Narrow"/>
      <family val="2"/>
      <charset val="1"/>
    </font>
    <font>
      <b/>
      <sz val="11"/>
      <color rgb="FF34BFD8"/>
      <name val="Aptos Narrow"/>
      <family val="2"/>
      <charset val="1"/>
    </font>
    <font>
      <i/>
      <sz val="10"/>
      <color rgb="FF1A1A1A"/>
      <name val="Calibri"/>
      <family val="2"/>
    </font>
    <font>
      <sz val="11"/>
      <color rgb="FF002A41"/>
      <name val="Aptos Narrow"/>
    </font>
    <font>
      <b/>
      <u/>
      <sz val="14"/>
      <color rgb="FF1E5A9F"/>
      <name val="Aptos Narrow"/>
      <family val="2"/>
      <charset val="1"/>
    </font>
    <font>
      <b/>
      <sz val="11"/>
      <color rgb="FF1A2E44"/>
      <name val="Calibri"/>
      <family val="2"/>
    </font>
    <font>
      <b/>
      <u/>
      <sz val="14"/>
      <color rgb="FF1E5A9F"/>
      <name val="Aptos Narrow"/>
    </font>
    <font>
      <sz val="11"/>
      <color rgb="FFFF0000"/>
      <name val="Calibri"/>
      <family val="2"/>
      <charset val="1"/>
    </font>
    <font>
      <sz val="11"/>
      <color theme="1"/>
      <name val="Aptos Narrow"/>
    </font>
    <font>
      <sz val="10"/>
      <color rgb="FF2B6CB0"/>
      <name val="Calibri"/>
      <family val="2"/>
    </font>
  </fonts>
  <fills count="9">
    <fill>
      <patternFill patternType="none"/>
    </fill>
    <fill>
      <patternFill patternType="gray125"/>
    </fill>
    <fill>
      <patternFill patternType="solid">
        <fgColor rgb="FF1A2E44"/>
        <bgColor rgb="FF002A41"/>
      </patternFill>
    </fill>
    <fill>
      <patternFill patternType="solid">
        <fgColor rgb="FF2B6CB0"/>
        <bgColor rgb="FF1F77B4"/>
      </patternFill>
    </fill>
    <fill>
      <patternFill patternType="solid">
        <fgColor rgb="FFFFFF00"/>
        <bgColor rgb="FFFFFF00"/>
      </patternFill>
    </fill>
    <fill>
      <patternFill patternType="solid">
        <fgColor rgb="FFD6E8F7"/>
        <bgColor rgb="FFD0E4F7"/>
      </patternFill>
    </fill>
    <fill>
      <patternFill patternType="solid">
        <fgColor rgb="FFF2F2F2"/>
        <bgColor rgb="FFFFFFFF"/>
      </patternFill>
    </fill>
    <fill>
      <patternFill patternType="solid">
        <fgColor rgb="FF1E5A9F"/>
        <bgColor rgb="FF2B6CB0"/>
      </patternFill>
    </fill>
    <fill>
      <patternFill patternType="solid">
        <fgColor rgb="FFFFC000"/>
        <bgColor rgb="FFFF9900"/>
      </patternFill>
    </fill>
  </fills>
  <borders count="9">
    <border>
      <left/>
      <right/>
      <top/>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right/>
      <top/>
      <bottom style="thin">
        <color rgb="FFCCCCCC"/>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cellStyleXfs>
  <cellXfs count="108">
    <xf numFmtId="0" fontId="0" fillId="0" borderId="0" xfId="0"/>
    <xf numFmtId="0" fontId="1" fillId="0" borderId="0" xfId="0" applyFont="1"/>
    <xf numFmtId="0" fontId="2" fillId="0" borderId="0" xfId="0" applyFont="1"/>
    <xf numFmtId="0" fontId="3" fillId="2" borderId="0" xfId="0" applyFont="1" applyFill="1" applyAlignment="1">
      <alignment horizontal="left" vertical="center"/>
    </xf>
    <xf numFmtId="0" fontId="0" fillId="2" borderId="0" xfId="0" applyFill="1"/>
    <xf numFmtId="0" fontId="2" fillId="2" borderId="0" xfId="0" applyFont="1" applyFill="1"/>
    <xf numFmtId="0" fontId="4" fillId="3" borderId="0" xfId="0" applyFont="1" applyFill="1" applyAlignment="1">
      <alignment horizontal="left" vertical="center"/>
    </xf>
    <xf numFmtId="0" fontId="5" fillId="3" borderId="0" xfId="0" applyFont="1" applyFill="1"/>
    <xf numFmtId="0" fontId="0" fillId="3" borderId="0" xfId="0" applyFill="1"/>
    <xf numFmtId="0" fontId="6" fillId="0" borderId="0" xfId="0" applyFont="1"/>
    <xf numFmtId="0" fontId="5" fillId="0" borderId="0" xfId="0" applyFont="1"/>
    <xf numFmtId="0" fontId="2" fillId="4" borderId="0" xfId="0" applyFont="1" applyFill="1"/>
    <xf numFmtId="0" fontId="7" fillId="0" borderId="0" xfId="0" applyFont="1"/>
    <xf numFmtId="0" fontId="1" fillId="4" borderId="0" xfId="0" applyFont="1" applyFill="1"/>
    <xf numFmtId="0" fontId="5" fillId="4" borderId="0" xfId="0" applyFont="1" applyFill="1"/>
    <xf numFmtId="0" fontId="8" fillId="0" borderId="0" xfId="0" applyFont="1"/>
    <xf numFmtId="0" fontId="9" fillId="0" borderId="0" xfId="0" applyFont="1"/>
    <xf numFmtId="0" fontId="10" fillId="4" borderId="1" xfId="0" applyFont="1" applyFill="1" applyBorder="1"/>
    <xf numFmtId="0" fontId="1" fillId="0" borderId="2" xfId="0" applyFont="1" applyBorder="1"/>
    <xf numFmtId="0" fontId="1" fillId="0" borderId="3" xfId="0" applyFont="1" applyBorder="1"/>
    <xf numFmtId="0" fontId="11" fillId="0" borderId="0" xfId="0" applyFont="1"/>
    <xf numFmtId="0" fontId="5" fillId="0" borderId="0" xfId="0" applyFont="1" applyAlignment="1">
      <alignment horizontal="left"/>
    </xf>
    <xf numFmtId="0" fontId="12" fillId="0" borderId="0" xfId="0" applyFont="1"/>
    <xf numFmtId="0" fontId="13" fillId="2" borderId="4" xfId="0" applyFont="1" applyFill="1" applyBorder="1" applyAlignment="1">
      <alignment horizontal="center" vertical="center"/>
    </xf>
    <xf numFmtId="0" fontId="13" fillId="2" borderId="4" xfId="0" applyFont="1" applyFill="1" applyBorder="1" applyAlignment="1">
      <alignment horizontal="left" vertical="center"/>
    </xf>
    <xf numFmtId="0" fontId="13" fillId="2" borderId="0" xfId="0" applyFont="1" applyFill="1" applyAlignment="1">
      <alignment horizontal="center" vertical="center"/>
    </xf>
    <xf numFmtId="0" fontId="14" fillId="5" borderId="5" xfId="0" applyFont="1" applyFill="1" applyBorder="1" applyAlignment="1">
      <alignment horizontal="center" vertical="center"/>
    </xf>
    <xf numFmtId="0" fontId="15" fillId="5" borderId="5" xfId="0" applyFont="1" applyFill="1" applyBorder="1" applyAlignment="1">
      <alignment horizontal="left" vertical="center"/>
    </xf>
    <xf numFmtId="0" fontId="14" fillId="5" borderId="5" xfId="0" applyFont="1" applyFill="1" applyBorder="1" applyAlignment="1">
      <alignment horizontal="left" vertical="center" wrapText="1"/>
    </xf>
    <xf numFmtId="0" fontId="16" fillId="5" borderId="0" xfId="0" applyFont="1" applyFill="1" applyAlignment="1">
      <alignment horizontal="left" vertical="center" wrapText="1"/>
    </xf>
    <xf numFmtId="0" fontId="17" fillId="5" borderId="0" xfId="0" applyFont="1" applyFill="1" applyAlignment="1">
      <alignment horizontal="center" vertical="center" wrapText="1"/>
    </xf>
    <xf numFmtId="0" fontId="17" fillId="5" borderId="0" xfId="0" applyFont="1" applyFill="1" applyAlignment="1">
      <alignment horizontal="left" vertical="center" wrapText="1"/>
    </xf>
    <xf numFmtId="0" fontId="14" fillId="5" borderId="5" xfId="0" applyFont="1" applyFill="1" applyBorder="1" applyAlignment="1">
      <alignment horizontal="left" vertical="center"/>
    </xf>
    <xf numFmtId="0" fontId="16" fillId="6" borderId="0" xfId="0" applyFont="1" applyFill="1" applyAlignment="1">
      <alignment horizontal="left" vertical="center" wrapText="1"/>
    </xf>
    <xf numFmtId="0" fontId="17" fillId="6" borderId="0" xfId="0" applyFont="1" applyFill="1" applyAlignment="1">
      <alignment horizontal="center" vertical="center" wrapText="1"/>
    </xf>
    <xf numFmtId="0" fontId="17" fillId="6" borderId="0" xfId="0" applyFont="1" applyFill="1" applyAlignment="1">
      <alignment horizontal="left" vertical="center" wrapText="1"/>
    </xf>
    <xf numFmtId="0" fontId="14" fillId="6" borderId="5" xfId="0" applyFont="1" applyFill="1" applyBorder="1" applyAlignment="1">
      <alignment horizontal="center" vertical="center"/>
    </xf>
    <xf numFmtId="0" fontId="15" fillId="6" borderId="5" xfId="0" applyFont="1" applyFill="1" applyBorder="1" applyAlignment="1">
      <alignment horizontal="left" vertical="center"/>
    </xf>
    <xf numFmtId="0" fontId="14" fillId="6" borderId="5" xfId="0" applyFont="1" applyFill="1" applyBorder="1" applyAlignment="1">
      <alignment horizontal="left" vertical="center" wrapText="1"/>
    </xf>
    <xf numFmtId="0" fontId="14" fillId="6" borderId="5" xfId="0" applyFont="1" applyFill="1" applyBorder="1" applyAlignment="1">
      <alignment horizontal="left" vertical="center"/>
    </xf>
    <xf numFmtId="0" fontId="18" fillId="3" borderId="0" xfId="0" applyFont="1" applyFill="1" applyAlignment="1">
      <alignment vertical="top"/>
    </xf>
    <xf numFmtId="0" fontId="1" fillId="3" borderId="0" xfId="0" applyFont="1" applyFill="1"/>
    <xf numFmtId="0" fontId="19" fillId="0" borderId="0" xfId="0" applyFont="1" applyAlignment="1">
      <alignment vertical="top"/>
    </xf>
    <xf numFmtId="0" fontId="18" fillId="0" borderId="0" xfId="0" applyFont="1" applyAlignment="1">
      <alignment vertical="top"/>
    </xf>
    <xf numFmtId="0" fontId="14" fillId="5" borderId="4" xfId="0" applyFont="1" applyFill="1" applyBorder="1"/>
    <xf numFmtId="10" fontId="14" fillId="5" borderId="4" xfId="0" applyNumberFormat="1" applyFont="1" applyFill="1" applyBorder="1"/>
    <xf numFmtId="0" fontId="14" fillId="5" borderId="0" xfId="0" applyFont="1" applyFill="1"/>
    <xf numFmtId="0" fontId="14" fillId="6" borderId="4" xfId="0" applyFont="1" applyFill="1" applyBorder="1"/>
    <xf numFmtId="10" fontId="14" fillId="6" borderId="4" xfId="0" applyNumberFormat="1" applyFont="1" applyFill="1" applyBorder="1"/>
    <xf numFmtId="0" fontId="14" fillId="6" borderId="0" xfId="0" applyFont="1" applyFill="1"/>
    <xf numFmtId="10" fontId="14" fillId="6" borderId="0" xfId="0" applyNumberFormat="1" applyFont="1" applyFill="1"/>
    <xf numFmtId="10" fontId="14" fillId="5" borderId="0" xfId="0" applyNumberFormat="1" applyFont="1" applyFill="1"/>
    <xf numFmtId="10" fontId="1" fillId="0" borderId="0" xfId="0" applyNumberFormat="1" applyFont="1"/>
    <xf numFmtId="0" fontId="1" fillId="0" borderId="0" xfId="0" applyFont="1" applyAlignment="1">
      <alignment vertical="top"/>
    </xf>
    <xf numFmtId="0" fontId="1" fillId="0" borderId="0" xfId="0" applyFont="1" applyAlignment="1">
      <alignment horizontal="center" vertical="top"/>
    </xf>
    <xf numFmtId="0" fontId="20" fillId="2" borderId="0" xfId="0" applyFont="1" applyFill="1"/>
    <xf numFmtId="0" fontId="18" fillId="0" borderId="6" xfId="0" applyFont="1" applyBorder="1" applyAlignment="1">
      <alignment horizontal="left" vertical="top"/>
    </xf>
    <xf numFmtId="0" fontId="18" fillId="0" borderId="7" xfId="0" applyFont="1" applyBorder="1" applyAlignment="1">
      <alignment horizontal="left" vertical="top"/>
    </xf>
    <xf numFmtId="0" fontId="18" fillId="0" borderId="8" xfId="0" applyFont="1" applyBorder="1" applyAlignment="1">
      <alignment horizontal="left" vertical="top"/>
    </xf>
    <xf numFmtId="0" fontId="21" fillId="7" borderId="4" xfId="0" applyFont="1" applyFill="1" applyBorder="1" applyAlignment="1">
      <alignment horizontal="center"/>
    </xf>
    <xf numFmtId="0" fontId="14" fillId="5" borderId="4" xfId="0" applyFont="1" applyFill="1" applyBorder="1" applyAlignment="1">
      <alignment horizontal="left" vertical="center" wrapText="1"/>
    </xf>
    <xf numFmtId="0" fontId="14" fillId="5" borderId="4" xfId="0" applyFont="1" applyFill="1" applyBorder="1" applyAlignment="1">
      <alignment horizontal="center" vertical="center"/>
    </xf>
    <xf numFmtId="0" fontId="5" fillId="0" borderId="4" xfId="0" applyFont="1" applyBorder="1" applyAlignment="1">
      <alignment vertical="top"/>
    </xf>
    <xf numFmtId="0" fontId="5" fillId="0" borderId="0" xfId="0" applyFont="1" applyAlignment="1">
      <alignment vertical="top"/>
    </xf>
    <xf numFmtId="0" fontId="14" fillId="6" borderId="4" xfId="0" applyFont="1" applyFill="1" applyBorder="1" applyAlignment="1">
      <alignment horizontal="left" vertical="center" wrapText="1"/>
    </xf>
    <xf numFmtId="0" fontId="14" fillId="6" borderId="4" xfId="0" applyFont="1" applyFill="1" applyBorder="1" applyAlignment="1">
      <alignment horizontal="center" vertical="center"/>
    </xf>
    <xf numFmtId="0" fontId="6" fillId="0" borderId="4" xfId="0" applyFont="1" applyBorder="1" applyAlignment="1">
      <alignment horizontal="right" vertical="top"/>
    </xf>
    <xf numFmtId="0" fontId="6" fillId="0" borderId="4" xfId="0" applyFont="1" applyBorder="1" applyAlignment="1">
      <alignment vertical="top"/>
    </xf>
    <xf numFmtId="0" fontId="5" fillId="0" borderId="0" xfId="0" applyFont="1" applyAlignment="1">
      <alignment horizontal="center" vertical="top"/>
    </xf>
    <xf numFmtId="0" fontId="5" fillId="0" borderId="0" xfId="0" applyFont="1" applyAlignment="1">
      <alignment horizontal="right" vertical="top"/>
    </xf>
    <xf numFmtId="0" fontId="22" fillId="0" borderId="0" xfId="0" applyFont="1" applyAlignment="1">
      <alignment horizontal="left" vertical="center" wrapText="1"/>
    </xf>
    <xf numFmtId="0" fontId="2" fillId="0" borderId="0" xfId="0" applyFont="1" applyAlignment="1">
      <alignment vertical="top" wrapText="1"/>
    </xf>
    <xf numFmtId="0" fontId="2" fillId="0" borderId="0" xfId="0" applyFont="1" applyAlignment="1">
      <alignment vertical="top"/>
    </xf>
    <xf numFmtId="0" fontId="15" fillId="5" borderId="4" xfId="0" applyFont="1" applyFill="1" applyBorder="1" applyAlignment="1">
      <alignment vertical="top"/>
    </xf>
    <xf numFmtId="9" fontId="15" fillId="0" borderId="4" xfId="0" applyNumberFormat="1" applyFont="1" applyBorder="1" applyAlignment="1">
      <alignment horizontal="center" vertical="top"/>
    </xf>
    <xf numFmtId="0" fontId="5" fillId="4" borderId="4" xfId="0" applyFont="1" applyFill="1" applyBorder="1" applyAlignment="1">
      <alignment vertical="top"/>
    </xf>
    <xf numFmtId="0" fontId="15" fillId="0" borderId="4" xfId="0" applyFont="1" applyBorder="1" applyAlignment="1">
      <alignment horizontal="center" vertical="top"/>
    </xf>
    <xf numFmtId="0" fontId="5" fillId="0" borderId="0" xfId="0" applyFont="1" applyAlignment="1">
      <alignment vertical="top" wrapText="1"/>
    </xf>
    <xf numFmtId="0" fontId="15" fillId="0" borderId="4" xfId="0" applyFont="1" applyBorder="1" applyAlignment="1">
      <alignment vertical="top"/>
    </xf>
    <xf numFmtId="0" fontId="13" fillId="2" borderId="4" xfId="0" applyFont="1" applyFill="1" applyBorder="1" applyAlignment="1">
      <alignment horizontal="center"/>
    </xf>
    <xf numFmtId="0" fontId="14" fillId="5" borderId="4" xfId="0" applyFont="1" applyFill="1" applyBorder="1" applyAlignment="1">
      <alignment vertical="top"/>
    </xf>
    <xf numFmtId="0" fontId="15" fillId="5" borderId="4" xfId="0" applyFont="1" applyFill="1" applyBorder="1" applyAlignment="1">
      <alignment horizontal="center" vertical="center"/>
    </xf>
    <xf numFmtId="0" fontId="14" fillId="6" borderId="4" xfId="0" applyFont="1" applyFill="1" applyBorder="1" applyAlignment="1">
      <alignment vertical="top"/>
    </xf>
    <xf numFmtId="0" fontId="15" fillId="6" borderId="4" xfId="0" applyFont="1" applyFill="1" applyBorder="1" applyAlignment="1">
      <alignment horizontal="center" vertical="center"/>
    </xf>
    <xf numFmtId="0" fontId="15" fillId="5" borderId="4" xfId="0" applyFont="1" applyFill="1" applyBorder="1"/>
    <xf numFmtId="1" fontId="15" fillId="5" borderId="4" xfId="0" applyNumberFormat="1" applyFont="1" applyFill="1" applyBorder="1" applyAlignment="1">
      <alignment horizontal="center" vertical="center"/>
    </xf>
    <xf numFmtId="1" fontId="14" fillId="5" borderId="4" xfId="0" applyNumberFormat="1" applyFont="1" applyFill="1" applyBorder="1" applyAlignment="1">
      <alignment horizontal="center" vertical="center"/>
    </xf>
    <xf numFmtId="0" fontId="15" fillId="6" borderId="4" xfId="0" applyFont="1" applyFill="1" applyBorder="1"/>
    <xf numFmtId="1" fontId="15" fillId="6" borderId="4" xfId="0" applyNumberFormat="1" applyFont="1" applyFill="1" applyBorder="1" applyAlignment="1">
      <alignment horizontal="center" vertical="center"/>
    </xf>
    <xf numFmtId="1" fontId="14" fillId="6" borderId="4" xfId="0" applyNumberFormat="1" applyFont="1" applyFill="1" applyBorder="1" applyAlignment="1">
      <alignment horizontal="center" vertical="center"/>
    </xf>
    <xf numFmtId="0" fontId="2" fillId="8" borderId="0" xfId="0" applyFont="1" applyFill="1" applyAlignment="1">
      <alignment vertical="top"/>
    </xf>
    <xf numFmtId="1" fontId="23" fillId="0" borderId="0" xfId="0" applyNumberFormat="1" applyFont="1" applyAlignment="1">
      <alignment vertical="top"/>
    </xf>
    <xf numFmtId="0" fontId="23" fillId="0" borderId="0" xfId="0" applyFont="1" applyAlignment="1">
      <alignment vertical="top"/>
    </xf>
    <xf numFmtId="0" fontId="23" fillId="0" borderId="0" xfId="0" applyFont="1" applyAlignment="1">
      <alignment horizontal="right" vertical="top"/>
    </xf>
    <xf numFmtId="0" fontId="1" fillId="0" borderId="0" xfId="0" applyFont="1" applyAlignment="1">
      <alignment wrapText="1"/>
    </xf>
    <xf numFmtId="0" fontId="24" fillId="3" borderId="0" xfId="0" applyFont="1" applyFill="1" applyAlignment="1">
      <alignment horizontal="left"/>
    </xf>
    <xf numFmtId="0" fontId="25" fillId="0" borderId="0" xfId="0" applyFont="1" applyAlignment="1">
      <alignment wrapText="1"/>
    </xf>
    <xf numFmtId="0" fontId="5" fillId="0" borderId="0" xfId="0" applyFont="1" applyAlignment="1">
      <alignment wrapText="1"/>
    </xf>
    <xf numFmtId="0" fontId="10" fillId="0" borderId="0" xfId="0" applyFont="1" applyAlignment="1">
      <alignment horizontal="left" vertical="top"/>
    </xf>
    <xf numFmtId="0" fontId="24" fillId="0" borderId="0" xfId="0" applyFont="1" applyAlignment="1">
      <alignment horizontal="left"/>
    </xf>
    <xf numFmtId="0" fontId="26" fillId="0" borderId="0" xfId="0" applyFont="1" applyAlignment="1">
      <alignment horizontal="left"/>
    </xf>
    <xf numFmtId="0" fontId="6" fillId="0" borderId="0" xfId="0" applyFont="1" applyAlignment="1">
      <alignment wrapText="1"/>
    </xf>
    <xf numFmtId="0" fontId="5" fillId="8" borderId="0" xfId="0" applyFont="1" applyFill="1" applyAlignment="1">
      <alignment wrapText="1"/>
    </xf>
    <xf numFmtId="0" fontId="27" fillId="0" borderId="0" xfId="0" applyFont="1"/>
    <xf numFmtId="0" fontId="28" fillId="0" borderId="0" xfId="0" applyFont="1" applyAlignment="1">
      <alignment wrapText="1"/>
    </xf>
    <xf numFmtId="0" fontId="25" fillId="0" borderId="0" xfId="0" applyFont="1"/>
    <xf numFmtId="0" fontId="14" fillId="0" borderId="0" xfId="0" applyFont="1"/>
    <xf numFmtId="0" fontId="29" fillId="0" borderId="0" xfId="0" applyFont="1"/>
  </cellXfs>
  <cellStyles count="1">
    <cellStyle name="Normal" xfId="0" builtinId="0"/>
  </cellStyles>
  <dxfs count="8">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2A41"/>
      </font>
      <fill>
        <patternFill>
          <bgColor rgb="FFFF0000"/>
        </patternFill>
      </fill>
    </dxf>
    <dxf>
      <font>
        <color rgb="FF9C0006"/>
      </font>
      <fill>
        <patternFill>
          <bgColor rgb="FFFFC7CE"/>
        </patternFill>
      </fill>
    </dxf>
    <dxf>
      <font>
        <color rgb="FF002A41"/>
      </font>
      <fill>
        <patternFill>
          <bgColor rgb="FFFFEB9C"/>
        </patternFill>
      </fill>
    </dxf>
    <dxf>
      <font>
        <color rgb="FF006100"/>
      </font>
      <fill>
        <patternFill>
          <bgColor rgb="FFC6EFCE"/>
        </patternFill>
      </fill>
    </dxf>
    <dxf>
      <font>
        <color rgb="FF002A41"/>
      </font>
      <fill>
        <patternFill>
          <bgColor rgb="FF34BFD8"/>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215968"/>
      <rgbColor rgb="FF800080"/>
      <rgbColor rgb="FF2B6CB0"/>
      <rgbColor rgb="FFBFBFBF"/>
      <rgbColor rgb="FF888888"/>
      <rgbColor rgb="FF9A6F8F"/>
      <rgbColor rgb="FFD71920"/>
      <rgbColor rgb="FFF2F2F2"/>
      <rgbColor rgb="FFD6E8F7"/>
      <rgbColor rgb="FF660066"/>
      <rgbColor rgb="FFE85C4A"/>
      <rgbColor rgb="FF1F77B4"/>
      <rgbColor rgb="FFCCCCCC"/>
      <rgbColor rgb="FF000080"/>
      <rgbColor rgb="FFFF00FF"/>
      <rgbColor rgb="FFFFFF00"/>
      <rgbColor rgb="FF00FFFF"/>
      <rgbColor rgb="FF800080"/>
      <rgbColor rgb="FFC00000"/>
      <rgbColor rgb="FF1E5A9F"/>
      <rgbColor rgb="FF0000FF"/>
      <rgbColor rgb="FF00CCFF"/>
      <rgbColor rgb="FFD0E4F7"/>
      <rgbColor rgb="FFC6EFCE"/>
      <rgbColor rgb="FFFFEB9C"/>
      <rgbColor rgb="FFD9D9D9"/>
      <rgbColor rgb="FFFF99CC"/>
      <rgbColor rgb="FF4E80C4"/>
      <rgbColor rgb="FFFFC7CE"/>
      <rgbColor rgb="FF4472C4"/>
      <rgbColor rgb="FF34BFD8"/>
      <rgbColor rgb="FF70AD47"/>
      <rgbColor rgb="FFFFC000"/>
      <rgbColor rgb="FFFF9900"/>
      <rgbColor rgb="FFED7D31"/>
      <rgbColor rgb="FF8064A2"/>
      <rgbColor rgb="FFA5A5A5"/>
      <rgbColor rgb="FF002A41"/>
      <rgbColor rgb="FF4F81BD"/>
      <rgbColor rgb="FF1A1A1A"/>
      <rgbColor rgb="FF1F1F1F"/>
      <rgbColor rgb="FF9C5700"/>
      <rgbColor rgb="FF595959"/>
      <rgbColor rgb="FF1A2E44"/>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lang="en-US" sz="1400" b="1" u="none" strike="noStrike">
                <a:solidFill>
                  <a:srgbClr val="1E5A9F"/>
                </a:solidFill>
                <a:uFillTx/>
                <a:latin typeface="Calibri"/>
              </a:rPr>
              <a:t>Theoretical Capabilities</a:t>
            </a:r>
          </a:p>
        </c:rich>
      </c:tx>
      <c:layout>
        <c:manualLayout>
          <c:xMode val="edge"/>
          <c:yMode val="edge"/>
          <c:x val="2.67044783173815E-2"/>
          <c:y val="4.7786229763994499E-2"/>
        </c:manualLayout>
      </c:layout>
      <c:overlay val="0"/>
      <c:spPr>
        <a:noFill/>
        <a:ln w="0">
          <a:noFill/>
        </a:ln>
      </c:spPr>
    </c:title>
    <c:autoTitleDeleted val="0"/>
    <c:plotArea>
      <c:layout>
        <c:manualLayout>
          <c:layoutTarget val="inner"/>
          <c:xMode val="edge"/>
          <c:yMode val="edge"/>
          <c:x val="0.38107054236086502"/>
          <c:y val="0.263116832455627"/>
          <c:w val="0.32281696797825798"/>
          <c:h val="0.555685586112736"/>
        </c:manualLayout>
      </c:layout>
      <c:radarChart>
        <c:radarStyle val="marker"/>
        <c:varyColors val="0"/>
        <c:ser>
          <c:idx val="0"/>
          <c:order val="0"/>
          <c:tx>
            <c:strRef>
              <c:f>'Step4. Dashboard'!$B$27</c:f>
              <c:strCache>
                <c:ptCount val="1"/>
                <c:pt idx="0">
                  <c:v>Score</c:v>
                </c:pt>
              </c:strCache>
            </c:strRef>
          </c:tx>
          <c:spPr>
            <a:ln w="28440" cap="rnd">
              <a:solidFill>
                <a:srgbClr val="4F81BD"/>
              </a:solidFill>
              <a:round/>
            </a:ln>
          </c:spPr>
          <c:marker>
            <c:symbol val="none"/>
          </c:marker>
          <c:dLbls>
            <c:spPr>
              <a:noFill/>
              <a:ln>
                <a:noFill/>
              </a:ln>
              <a:effectLst/>
            </c:spPr>
            <c:txPr>
              <a:bodyPr wrap="square"/>
              <a:lstStyle/>
              <a:p>
                <a:pPr>
                  <a:defRPr sz="1000" b="0" u="none" strike="noStrike">
                    <a:solidFill>
                      <a:srgbClr val="000000"/>
                    </a:solidFill>
                    <a:uFillTx/>
                    <a:latin typeface="Calibri"/>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8440" cap="rnd">
                      <a:solidFill>
                        <a:srgbClr val="000000"/>
                      </a:solidFill>
                    </a:ln>
                  </c:spPr>
                </c15:leaderLines>
              </c:ext>
            </c:extLst>
          </c:dLbls>
          <c:cat>
            <c:strRef>
              <c:f>'Step4. Dashboard'!$A$28:$A$35</c:f>
              <c:strCache>
                <c:ptCount val="8"/>
                <c:pt idx="0">
                  <c:v>Governance</c:v>
                </c:pt>
                <c:pt idx="1">
                  <c:v>Risk</c:v>
                </c:pt>
                <c:pt idx="2">
                  <c:v>Security</c:v>
                </c:pt>
                <c:pt idx="3">
                  <c:v>Crisis</c:v>
                </c:pt>
                <c:pt idx="4">
                  <c:v>BCP</c:v>
                </c:pt>
                <c:pt idx="5">
                  <c:v>People</c:v>
                </c:pt>
                <c:pt idx="6">
                  <c:v>Operations</c:v>
                </c:pt>
                <c:pt idx="7">
                  <c:v>Assurance</c:v>
                </c:pt>
              </c:strCache>
            </c:strRef>
          </c:cat>
          <c:val>
            <c:numRef>
              <c:f>'Step4. Dashboard'!$B$28:$B$35</c:f>
              <c:numCache>
                <c:formatCode>0</c:formatCode>
                <c:ptCount val="8"/>
                <c:pt idx="0">
                  <c:v>75</c:v>
                </c:pt>
                <c:pt idx="1">
                  <c:v>75</c:v>
                </c:pt>
                <c:pt idx="2">
                  <c:v>75</c:v>
                </c:pt>
                <c:pt idx="3">
                  <c:v>75</c:v>
                </c:pt>
                <c:pt idx="4">
                  <c:v>75</c:v>
                </c:pt>
                <c:pt idx="5">
                  <c:v>75</c:v>
                </c:pt>
                <c:pt idx="6">
                  <c:v>75</c:v>
                </c:pt>
                <c:pt idx="7">
                  <c:v>75</c:v>
                </c:pt>
              </c:numCache>
            </c:numRef>
          </c:val>
          <c:extLst>
            <c:ext xmlns:c16="http://schemas.microsoft.com/office/drawing/2014/chart" uri="{C3380CC4-5D6E-409C-BE32-E72D297353CC}">
              <c16:uniqueId val="{00000000-8888-F84E-8A0E-E7D1DFEF588F}"/>
            </c:ext>
          </c:extLst>
        </c:ser>
        <c:dLbls>
          <c:showLegendKey val="0"/>
          <c:showVal val="0"/>
          <c:showCatName val="0"/>
          <c:showSerName val="0"/>
          <c:showPercent val="0"/>
          <c:showBubbleSize val="0"/>
        </c:dLbls>
        <c:axId val="30994245"/>
        <c:axId val="8814392"/>
      </c:radarChart>
      <c:catAx>
        <c:axId val="30994245"/>
        <c:scaling>
          <c:orientation val="maxMin"/>
        </c:scaling>
        <c:delete val="0"/>
        <c:axPos val="b"/>
        <c:numFmt formatCode="General" sourceLinked="0"/>
        <c:majorTickMark val="none"/>
        <c:minorTickMark val="none"/>
        <c:tickLblPos val="nextTo"/>
        <c:spPr>
          <a:ln w="9360">
            <a:noFill/>
          </a:ln>
        </c:spPr>
        <c:txPr>
          <a:bodyPr/>
          <a:lstStyle/>
          <a:p>
            <a:pPr>
              <a:defRPr sz="900" b="0" u="none" strike="noStrike">
                <a:solidFill>
                  <a:schemeClr val="tx1">
                    <a:lumMod val="65000"/>
                    <a:lumOff val="35000"/>
                  </a:schemeClr>
                </a:solidFill>
                <a:uFillTx/>
                <a:latin typeface="Calibri"/>
              </a:defRPr>
            </a:pPr>
            <a:endParaRPr lang="en-US"/>
          </a:p>
        </c:txPr>
        <c:crossAx val="8814392"/>
        <c:crosses val="autoZero"/>
        <c:auto val="1"/>
        <c:lblAlgn val="ctr"/>
        <c:lblOffset val="100"/>
        <c:noMultiLvlLbl val="0"/>
      </c:catAx>
      <c:valAx>
        <c:axId val="8814392"/>
        <c:scaling>
          <c:orientation val="minMax"/>
        </c:scaling>
        <c:delete val="0"/>
        <c:axPos val="l"/>
        <c:majorGridlines>
          <c:spPr>
            <a:ln w="9360">
              <a:solidFill>
                <a:schemeClr val="dk1">
                  <a:lumMod val="15000"/>
                  <a:lumOff val="85000"/>
                </a:schemeClr>
              </a:solidFill>
              <a:round/>
            </a:ln>
          </c:spPr>
        </c:majorGridlines>
        <c:numFmt formatCode="0" sourceLinked="0"/>
        <c:majorTickMark val="none"/>
        <c:minorTickMark val="none"/>
        <c:tickLblPos val="nextTo"/>
        <c:spPr>
          <a:ln w="9360">
            <a:noFill/>
          </a:ln>
        </c:spPr>
        <c:txPr>
          <a:bodyPr/>
          <a:lstStyle/>
          <a:p>
            <a:pPr>
              <a:defRPr sz="900" b="0" u="none" strike="noStrike">
                <a:solidFill>
                  <a:schemeClr val="tx1">
                    <a:lumMod val="65000"/>
                    <a:lumOff val="35000"/>
                  </a:schemeClr>
                </a:solidFill>
                <a:uFillTx/>
                <a:latin typeface="Calibri"/>
              </a:defRPr>
            </a:pPr>
            <a:endParaRPr lang="en-US"/>
          </a:p>
        </c:txPr>
        <c:crossAx val="30994245"/>
        <c:crosses val="autoZero"/>
        <c:crossBetween val="midCat"/>
      </c:valAx>
      <c:spPr>
        <a:solidFill>
          <a:srgbClr val="FFFFFF"/>
        </a:solidFill>
        <a:ln w="0">
          <a:noFill/>
        </a:ln>
      </c:spPr>
    </c:plotArea>
    <c:plotVisOnly val="1"/>
    <c:dispBlanksAs val="gap"/>
    <c:showDLblsOverMax val="1"/>
  </c:chart>
  <c:spPr>
    <a:solidFill>
      <a:srgbClr val="FFFFFF"/>
    </a:solidFill>
    <a:ln w="9360">
      <a:solidFill>
        <a:srgbClr val="002A41"/>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lang="en-GB" sz="1400" b="1" u="none" strike="noStrike">
                <a:solidFill>
                  <a:srgbClr val="1E5A9F"/>
                </a:solidFill>
                <a:uFillTx/>
                <a:latin typeface="Calibri"/>
              </a:rPr>
              <a:t>Maturity Distribution</a:t>
            </a:r>
          </a:p>
        </c:rich>
      </c:tx>
      <c:layout>
        <c:manualLayout>
          <c:xMode val="edge"/>
          <c:yMode val="edge"/>
          <c:x val="1.2791286727456899E-2"/>
          <c:y val="2.4374735057227599E-2"/>
        </c:manualLayout>
      </c:layout>
      <c:overlay val="0"/>
      <c:spPr>
        <a:noFill/>
        <a:ln w="0">
          <a:noFill/>
        </a:ln>
      </c:spPr>
    </c:title>
    <c:autoTitleDeleted val="0"/>
    <c:plotArea>
      <c:layout/>
      <c:pieChart>
        <c:varyColors val="1"/>
        <c:ser>
          <c:idx val="0"/>
          <c:order val="0"/>
          <c:spPr>
            <a:solidFill>
              <a:srgbClr val="4F81BD"/>
            </a:solidFill>
            <a:ln w="12600">
              <a:noFill/>
            </a:ln>
          </c:spPr>
          <c:dPt>
            <c:idx val="0"/>
            <c:bubble3D val="0"/>
            <c:spPr>
              <a:solidFill>
                <a:srgbClr val="C00000"/>
              </a:solidFill>
              <a:ln w="0">
                <a:noFill/>
              </a:ln>
            </c:spPr>
            <c:extLst>
              <c:ext xmlns:c16="http://schemas.microsoft.com/office/drawing/2014/chart" uri="{C3380CC4-5D6E-409C-BE32-E72D297353CC}">
                <c16:uniqueId val="{00000001-FAEA-5345-9116-54B76E94D3A6}"/>
              </c:ext>
            </c:extLst>
          </c:dPt>
          <c:dPt>
            <c:idx val="1"/>
            <c:bubble3D val="0"/>
            <c:spPr>
              <a:solidFill>
                <a:srgbClr val="ED7D31"/>
              </a:solidFill>
              <a:ln w="0">
                <a:noFill/>
              </a:ln>
            </c:spPr>
            <c:extLst>
              <c:ext xmlns:c16="http://schemas.microsoft.com/office/drawing/2014/chart" uri="{C3380CC4-5D6E-409C-BE32-E72D297353CC}">
                <c16:uniqueId val="{00000003-FAEA-5345-9116-54B76E94D3A6}"/>
              </c:ext>
            </c:extLst>
          </c:dPt>
          <c:dPt>
            <c:idx val="2"/>
            <c:bubble3D val="0"/>
            <c:spPr>
              <a:solidFill>
                <a:srgbClr val="8064A2"/>
              </a:solidFill>
              <a:ln w="0">
                <a:noFill/>
              </a:ln>
            </c:spPr>
            <c:extLst>
              <c:ext xmlns:c16="http://schemas.microsoft.com/office/drawing/2014/chart" uri="{C3380CC4-5D6E-409C-BE32-E72D297353CC}">
                <c16:uniqueId val="{00000005-FAEA-5345-9116-54B76E94D3A6}"/>
              </c:ext>
            </c:extLst>
          </c:dPt>
          <c:dPt>
            <c:idx val="3"/>
            <c:bubble3D val="0"/>
            <c:spPr>
              <a:solidFill>
                <a:srgbClr val="4472C4"/>
              </a:solidFill>
              <a:ln w="0">
                <a:noFill/>
              </a:ln>
            </c:spPr>
            <c:extLst>
              <c:ext xmlns:c16="http://schemas.microsoft.com/office/drawing/2014/chart" uri="{C3380CC4-5D6E-409C-BE32-E72D297353CC}">
                <c16:uniqueId val="{00000007-FAEA-5345-9116-54B76E94D3A6}"/>
              </c:ext>
            </c:extLst>
          </c:dPt>
          <c:dPt>
            <c:idx val="4"/>
            <c:bubble3D val="0"/>
            <c:spPr>
              <a:solidFill>
                <a:srgbClr val="70AD47"/>
              </a:solidFill>
              <a:ln w="0">
                <a:noFill/>
              </a:ln>
            </c:spPr>
            <c:extLst>
              <c:ext xmlns:c16="http://schemas.microsoft.com/office/drawing/2014/chart" uri="{C3380CC4-5D6E-409C-BE32-E72D297353CC}">
                <c16:uniqueId val="{00000009-FAEA-5345-9116-54B76E94D3A6}"/>
              </c:ext>
            </c:extLst>
          </c:dPt>
          <c:dPt>
            <c:idx val="5"/>
            <c:bubble3D val="0"/>
            <c:spPr>
              <a:solidFill>
                <a:srgbClr val="A5A5A5"/>
              </a:solidFill>
              <a:ln w="0">
                <a:noFill/>
              </a:ln>
            </c:spPr>
            <c:extLst>
              <c:ext xmlns:c16="http://schemas.microsoft.com/office/drawing/2014/chart" uri="{C3380CC4-5D6E-409C-BE32-E72D297353CC}">
                <c16:uniqueId val="{0000000B-FAEA-5345-9116-54B76E94D3A6}"/>
              </c:ext>
            </c:extLst>
          </c:dPt>
          <c:dLbls>
            <c:dLbl>
              <c:idx val="0"/>
              <c:spPr/>
              <c:txPr>
                <a:bodyPr wrap="square"/>
                <a:lstStyle/>
                <a:p>
                  <a:pPr>
                    <a:defRPr sz="1100" b="1" u="none" strike="noStrike">
                      <a:solidFill>
                        <a:schemeClr val="tx1">
                          <a:lumMod val="75000"/>
                          <a:lumOff val="25000"/>
                        </a:schemeClr>
                      </a:solidFill>
                      <a:uFillTx/>
                      <a:latin typeface="Calibri"/>
                    </a:defRPr>
                  </a:pPr>
                  <a:endParaRPr lang="en-US"/>
                </a:p>
              </c:txPr>
              <c:dLblPos val="ctr"/>
              <c:showLegendKey val="0"/>
              <c:showVal val="0"/>
              <c:showCatName val="0"/>
              <c:showSerName val="0"/>
              <c:showPercent val="1"/>
              <c:showBubbleSize val="1"/>
              <c:extLst>
                <c:ext xmlns:c16="http://schemas.microsoft.com/office/drawing/2014/chart" uri="{C3380CC4-5D6E-409C-BE32-E72D297353CC}">
                  <c16:uniqueId val="{00000001-FAEA-5345-9116-54B76E94D3A6}"/>
                </c:ext>
              </c:extLst>
            </c:dLbl>
            <c:dLbl>
              <c:idx val="1"/>
              <c:spPr/>
              <c:txPr>
                <a:bodyPr wrap="square"/>
                <a:lstStyle/>
                <a:p>
                  <a:pPr>
                    <a:defRPr sz="1100" b="1" u="none" strike="noStrike">
                      <a:solidFill>
                        <a:schemeClr val="tx1">
                          <a:lumMod val="75000"/>
                          <a:lumOff val="25000"/>
                        </a:schemeClr>
                      </a:solidFill>
                      <a:uFillTx/>
                      <a:latin typeface="Calibri"/>
                    </a:defRPr>
                  </a:pPr>
                  <a:endParaRPr lang="en-US"/>
                </a:p>
              </c:txPr>
              <c:dLblPos val="ctr"/>
              <c:showLegendKey val="0"/>
              <c:showVal val="0"/>
              <c:showCatName val="0"/>
              <c:showSerName val="0"/>
              <c:showPercent val="1"/>
              <c:showBubbleSize val="1"/>
              <c:extLst>
                <c:ext xmlns:c16="http://schemas.microsoft.com/office/drawing/2014/chart" uri="{C3380CC4-5D6E-409C-BE32-E72D297353CC}">
                  <c16:uniqueId val="{00000003-FAEA-5345-9116-54B76E94D3A6}"/>
                </c:ext>
              </c:extLst>
            </c:dLbl>
            <c:dLbl>
              <c:idx val="2"/>
              <c:spPr/>
              <c:txPr>
                <a:bodyPr wrap="square"/>
                <a:lstStyle/>
                <a:p>
                  <a:pPr>
                    <a:defRPr sz="1100" b="1" u="none" strike="noStrike">
                      <a:solidFill>
                        <a:schemeClr val="tx1">
                          <a:lumMod val="75000"/>
                          <a:lumOff val="25000"/>
                        </a:schemeClr>
                      </a:solidFill>
                      <a:uFillTx/>
                      <a:latin typeface="Calibri"/>
                    </a:defRPr>
                  </a:pPr>
                  <a:endParaRPr lang="en-US"/>
                </a:p>
              </c:txPr>
              <c:dLblPos val="ctr"/>
              <c:showLegendKey val="0"/>
              <c:showVal val="0"/>
              <c:showCatName val="0"/>
              <c:showSerName val="0"/>
              <c:showPercent val="1"/>
              <c:showBubbleSize val="1"/>
              <c:extLst>
                <c:ext xmlns:c16="http://schemas.microsoft.com/office/drawing/2014/chart" uri="{C3380CC4-5D6E-409C-BE32-E72D297353CC}">
                  <c16:uniqueId val="{00000005-FAEA-5345-9116-54B76E94D3A6}"/>
                </c:ext>
              </c:extLst>
            </c:dLbl>
            <c:dLbl>
              <c:idx val="3"/>
              <c:spPr/>
              <c:txPr>
                <a:bodyPr wrap="square"/>
                <a:lstStyle/>
                <a:p>
                  <a:pPr>
                    <a:defRPr sz="1100" b="1" u="none" strike="noStrike">
                      <a:solidFill>
                        <a:schemeClr val="tx1">
                          <a:lumMod val="75000"/>
                          <a:lumOff val="25000"/>
                        </a:schemeClr>
                      </a:solidFill>
                      <a:uFillTx/>
                      <a:latin typeface="Calibri"/>
                    </a:defRPr>
                  </a:pPr>
                  <a:endParaRPr lang="en-US"/>
                </a:p>
              </c:txPr>
              <c:dLblPos val="ctr"/>
              <c:showLegendKey val="0"/>
              <c:showVal val="0"/>
              <c:showCatName val="0"/>
              <c:showSerName val="0"/>
              <c:showPercent val="1"/>
              <c:showBubbleSize val="1"/>
              <c:extLst>
                <c:ext xmlns:c16="http://schemas.microsoft.com/office/drawing/2014/chart" uri="{C3380CC4-5D6E-409C-BE32-E72D297353CC}">
                  <c16:uniqueId val="{00000007-FAEA-5345-9116-54B76E94D3A6}"/>
                </c:ext>
              </c:extLst>
            </c:dLbl>
            <c:dLbl>
              <c:idx val="4"/>
              <c:spPr/>
              <c:txPr>
                <a:bodyPr wrap="square"/>
                <a:lstStyle/>
                <a:p>
                  <a:pPr>
                    <a:defRPr sz="1100" b="1" u="none" strike="noStrike">
                      <a:solidFill>
                        <a:schemeClr val="tx1">
                          <a:lumMod val="75000"/>
                          <a:lumOff val="25000"/>
                        </a:schemeClr>
                      </a:solidFill>
                      <a:uFillTx/>
                      <a:latin typeface="Calibri"/>
                    </a:defRPr>
                  </a:pPr>
                  <a:endParaRPr lang="en-US"/>
                </a:p>
              </c:txPr>
              <c:dLblPos val="ctr"/>
              <c:showLegendKey val="0"/>
              <c:showVal val="0"/>
              <c:showCatName val="0"/>
              <c:showSerName val="0"/>
              <c:showPercent val="1"/>
              <c:showBubbleSize val="1"/>
              <c:extLst>
                <c:ext xmlns:c16="http://schemas.microsoft.com/office/drawing/2014/chart" uri="{C3380CC4-5D6E-409C-BE32-E72D297353CC}">
                  <c16:uniqueId val="{00000009-FAEA-5345-9116-54B76E94D3A6}"/>
                </c:ext>
              </c:extLst>
            </c:dLbl>
            <c:dLbl>
              <c:idx val="5"/>
              <c:spPr/>
              <c:txPr>
                <a:bodyPr wrap="square"/>
                <a:lstStyle/>
                <a:p>
                  <a:pPr>
                    <a:defRPr sz="1100" b="1" u="none" strike="noStrike">
                      <a:solidFill>
                        <a:schemeClr val="tx1">
                          <a:lumMod val="75000"/>
                          <a:lumOff val="25000"/>
                        </a:schemeClr>
                      </a:solidFill>
                      <a:uFillTx/>
                      <a:latin typeface="Calibri"/>
                    </a:defRPr>
                  </a:pPr>
                  <a:endParaRPr lang="en-US"/>
                </a:p>
              </c:txPr>
              <c:dLblPos val="ctr"/>
              <c:showLegendKey val="0"/>
              <c:showVal val="0"/>
              <c:showCatName val="0"/>
              <c:showSerName val="0"/>
              <c:showPercent val="1"/>
              <c:showBubbleSize val="1"/>
              <c:extLst>
                <c:ext xmlns:c16="http://schemas.microsoft.com/office/drawing/2014/chart" uri="{C3380CC4-5D6E-409C-BE32-E72D297353CC}">
                  <c16:uniqueId val="{0000000B-FAEA-5345-9116-54B76E94D3A6}"/>
                </c:ext>
              </c:extLst>
            </c:dLbl>
            <c:spPr>
              <a:noFill/>
              <a:ln>
                <a:noFill/>
              </a:ln>
              <a:effectLst/>
            </c:spPr>
            <c:txPr>
              <a:bodyPr wrap="square"/>
              <a:lstStyle/>
              <a:p>
                <a:pPr>
                  <a:defRPr sz="1100" b="1" u="none" strike="noStrike">
                    <a:solidFill>
                      <a:schemeClr val="tx1">
                        <a:lumMod val="75000"/>
                        <a:lumOff val="25000"/>
                      </a:schemeClr>
                    </a:solidFill>
                    <a:uFillTx/>
                    <a:latin typeface="Calibri"/>
                  </a:defRPr>
                </a:pPr>
                <a:endParaRPr lang="en-US"/>
              </a:p>
            </c:txPr>
            <c:dLblPos val="ctr"/>
            <c:showLegendKey val="0"/>
            <c:showVal val="0"/>
            <c:showCatName val="0"/>
            <c:showSerName val="0"/>
            <c:showPercent val="1"/>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'Step4. Dashboard'!$A$19:$A$24</c:f>
              <c:strCache>
                <c:ptCount val="6"/>
                <c:pt idx="0">
                  <c:v>No / None</c:v>
                </c:pt>
                <c:pt idx="1">
                  <c:v>Ad hoc</c:v>
                </c:pt>
                <c:pt idx="2">
                  <c:v>Partial</c:v>
                </c:pt>
                <c:pt idx="3">
                  <c:v>Formal</c:v>
                </c:pt>
                <c:pt idx="4">
                  <c:v>Embedded</c:v>
                </c:pt>
                <c:pt idx="5">
                  <c:v>N/A</c:v>
                </c:pt>
              </c:strCache>
            </c:strRef>
          </c:cat>
          <c:val>
            <c:numRef>
              <c:f>'Step4. Dashboard'!$B$19:$B$24</c:f>
              <c:numCache>
                <c:formatCode>General</c:formatCode>
                <c:ptCount val="6"/>
                <c:pt idx="0">
                  <c:v>0</c:v>
                </c:pt>
                <c:pt idx="1">
                  <c:v>0</c:v>
                </c:pt>
                <c:pt idx="2">
                  <c:v>0</c:v>
                </c:pt>
                <c:pt idx="3">
                  <c:v>55</c:v>
                </c:pt>
                <c:pt idx="4">
                  <c:v>0</c:v>
                </c:pt>
                <c:pt idx="5">
                  <c:v>0</c:v>
                </c:pt>
              </c:numCache>
            </c:numRef>
          </c:val>
          <c:extLst>
            <c:ext xmlns:c16="http://schemas.microsoft.com/office/drawing/2014/chart" uri="{C3380CC4-5D6E-409C-BE32-E72D297353CC}">
              <c16:uniqueId val="{0000000C-FAEA-5345-9116-54B76E94D3A6}"/>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b"/>
      <c:layout>
        <c:manualLayout>
          <c:xMode val="edge"/>
          <c:yMode val="edge"/>
          <c:x val="1.00336360299622E-3"/>
          <c:y val="0.75691767629855899"/>
          <c:w val="0.98136510695053003"/>
          <c:h val="0.22701089061048699"/>
        </c:manualLayout>
      </c:layout>
      <c:overlay val="0"/>
      <c:spPr>
        <a:noFill/>
        <a:ln w="0">
          <a:noFill/>
        </a:ln>
      </c:spPr>
      <c:txPr>
        <a:bodyPr/>
        <a:lstStyle/>
        <a:p>
          <a:pPr>
            <a:defRPr sz="900" b="0" u="none" strike="noStrike">
              <a:solidFill>
                <a:schemeClr val="tx1">
                  <a:lumMod val="65000"/>
                  <a:lumOff val="35000"/>
                </a:schemeClr>
              </a:solidFill>
              <a:uFillTx/>
              <a:latin typeface="Calibri"/>
            </a:defRPr>
          </a:pPr>
          <a:endParaRPr lang="en-US"/>
        </a:p>
      </c:txPr>
    </c:legend>
    <c:plotVisOnly val="1"/>
    <c:dispBlanksAs val="gap"/>
    <c:showDLblsOverMax val="1"/>
  </c:chart>
  <c:spPr>
    <a:solidFill>
      <a:srgbClr val="FFFFFF"/>
    </a:solidFill>
    <a:ln w="9360">
      <a:solidFill>
        <a:srgbClr val="002A41"/>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lang="en-US" sz="1400" b="1" u="none" strike="noStrike">
                <a:solidFill>
                  <a:srgbClr val="1E5A9F"/>
                </a:solidFill>
                <a:uFillTx/>
                <a:latin typeface="Calibri"/>
              </a:rPr>
              <a:t>Questionnaire responses</a:t>
            </a:r>
          </a:p>
        </c:rich>
      </c:tx>
      <c:layout>
        <c:manualLayout>
          <c:xMode val="edge"/>
          <c:yMode val="edge"/>
          <c:x val="1.17045982350209E-2"/>
          <c:y val="4.1000694927032698E-2"/>
        </c:manualLayout>
      </c:layout>
      <c:overlay val="0"/>
      <c:spPr>
        <a:noFill/>
        <a:ln w="0">
          <a:noFill/>
        </a:ln>
      </c:spPr>
    </c:title>
    <c:autoTitleDeleted val="0"/>
    <c:plotArea>
      <c:layout/>
      <c:barChart>
        <c:barDir val="bar"/>
        <c:grouping val="clustered"/>
        <c:varyColors val="0"/>
        <c:ser>
          <c:idx val="0"/>
          <c:order val="0"/>
          <c:tx>
            <c:strRef>
              <c:f>'Step4. Dashboard'!$B$18</c:f>
              <c:strCache>
                <c:ptCount val="1"/>
                <c:pt idx="0">
                  <c:v>Count</c:v>
                </c:pt>
              </c:strCache>
            </c:strRef>
          </c:tx>
          <c:spPr>
            <a:solidFill>
              <a:srgbClr val="4F81BD"/>
            </a:solidFill>
            <a:ln w="12600">
              <a:noFill/>
            </a:ln>
          </c:spPr>
          <c:invertIfNegative val="0"/>
          <c:dPt>
            <c:idx val="0"/>
            <c:invertIfNegative val="0"/>
            <c:bubble3D val="0"/>
            <c:spPr>
              <a:solidFill>
                <a:srgbClr val="D71920"/>
              </a:solidFill>
              <a:ln w="0">
                <a:noFill/>
              </a:ln>
            </c:spPr>
            <c:extLst>
              <c:ext xmlns:c16="http://schemas.microsoft.com/office/drawing/2014/chart" uri="{C3380CC4-5D6E-409C-BE32-E72D297353CC}">
                <c16:uniqueId val="{00000001-2A1B-9D45-9117-908A38BC80A2}"/>
              </c:ext>
            </c:extLst>
          </c:dPt>
          <c:dPt>
            <c:idx val="1"/>
            <c:invertIfNegative val="0"/>
            <c:bubble3D val="0"/>
            <c:spPr>
              <a:solidFill>
                <a:srgbClr val="E85C4A"/>
              </a:solidFill>
              <a:ln w="0">
                <a:noFill/>
              </a:ln>
            </c:spPr>
            <c:extLst>
              <c:ext xmlns:c16="http://schemas.microsoft.com/office/drawing/2014/chart" uri="{C3380CC4-5D6E-409C-BE32-E72D297353CC}">
                <c16:uniqueId val="{00000003-2A1B-9D45-9117-908A38BC80A2}"/>
              </c:ext>
            </c:extLst>
          </c:dPt>
          <c:dPt>
            <c:idx val="2"/>
            <c:invertIfNegative val="0"/>
            <c:bubble3D val="0"/>
            <c:spPr>
              <a:solidFill>
                <a:srgbClr val="9A6F8F"/>
              </a:solidFill>
              <a:ln w="0">
                <a:noFill/>
              </a:ln>
            </c:spPr>
            <c:extLst>
              <c:ext xmlns:c16="http://schemas.microsoft.com/office/drawing/2014/chart" uri="{C3380CC4-5D6E-409C-BE32-E72D297353CC}">
                <c16:uniqueId val="{00000005-2A1B-9D45-9117-908A38BC80A2}"/>
              </c:ext>
            </c:extLst>
          </c:dPt>
          <c:dPt>
            <c:idx val="3"/>
            <c:invertIfNegative val="0"/>
            <c:bubble3D val="0"/>
            <c:spPr>
              <a:solidFill>
                <a:srgbClr val="4E80C4"/>
              </a:solidFill>
              <a:ln w="0">
                <a:noFill/>
              </a:ln>
            </c:spPr>
            <c:extLst>
              <c:ext xmlns:c16="http://schemas.microsoft.com/office/drawing/2014/chart" uri="{C3380CC4-5D6E-409C-BE32-E72D297353CC}">
                <c16:uniqueId val="{00000007-2A1B-9D45-9117-908A38BC80A2}"/>
              </c:ext>
            </c:extLst>
          </c:dPt>
          <c:dPt>
            <c:idx val="4"/>
            <c:invertIfNegative val="0"/>
            <c:bubble3D val="0"/>
            <c:spPr>
              <a:solidFill>
                <a:srgbClr val="1F77B4"/>
              </a:solidFill>
              <a:ln w="0">
                <a:noFill/>
              </a:ln>
            </c:spPr>
            <c:extLst>
              <c:ext xmlns:c16="http://schemas.microsoft.com/office/drawing/2014/chart" uri="{C3380CC4-5D6E-409C-BE32-E72D297353CC}">
                <c16:uniqueId val="{00000009-2A1B-9D45-9117-908A38BC80A2}"/>
              </c:ext>
            </c:extLst>
          </c:dPt>
          <c:dPt>
            <c:idx val="5"/>
            <c:invertIfNegative val="0"/>
            <c:bubble3D val="0"/>
            <c:spPr>
              <a:solidFill>
                <a:srgbClr val="BFBFBF"/>
              </a:solidFill>
              <a:ln w="0">
                <a:noFill/>
              </a:ln>
            </c:spPr>
            <c:extLst>
              <c:ext xmlns:c16="http://schemas.microsoft.com/office/drawing/2014/chart" uri="{C3380CC4-5D6E-409C-BE32-E72D297353CC}">
                <c16:uniqueId val="{0000000B-2A1B-9D45-9117-908A38BC80A2}"/>
              </c:ext>
            </c:extLst>
          </c:dPt>
          <c:dLbls>
            <c:dLbl>
              <c:idx val="0"/>
              <c:spPr/>
              <c:txPr>
                <a:bodyPr wrap="square"/>
                <a:lstStyle/>
                <a:p>
                  <a:pPr>
                    <a:defRPr sz="900" b="0" u="none" strike="noStrike">
                      <a:solidFill>
                        <a:schemeClr val="tx1">
                          <a:lumMod val="75000"/>
                          <a:lumOff val="25000"/>
                        </a:schemeClr>
                      </a:solidFill>
                      <a:uFillTx/>
                      <a:latin typeface="Calibri"/>
                    </a:defRPr>
                  </a:pPr>
                  <a:endParaRPr lang="en-US"/>
                </a:p>
              </c:txPr>
              <c:dLblPos val="outEnd"/>
              <c:showLegendKey val="0"/>
              <c:showVal val="1"/>
              <c:showCatName val="0"/>
              <c:showSerName val="0"/>
              <c:showPercent val="0"/>
              <c:showBubbleSize val="1"/>
              <c:extLst>
                <c:ext xmlns:c16="http://schemas.microsoft.com/office/drawing/2014/chart" uri="{C3380CC4-5D6E-409C-BE32-E72D297353CC}">
                  <c16:uniqueId val="{00000001-2A1B-9D45-9117-908A38BC80A2}"/>
                </c:ext>
              </c:extLst>
            </c:dLbl>
            <c:dLbl>
              <c:idx val="1"/>
              <c:spPr/>
              <c:txPr>
                <a:bodyPr wrap="square"/>
                <a:lstStyle/>
                <a:p>
                  <a:pPr>
                    <a:defRPr sz="900" b="0" u="none" strike="noStrike">
                      <a:solidFill>
                        <a:schemeClr val="tx1">
                          <a:lumMod val="75000"/>
                          <a:lumOff val="25000"/>
                        </a:schemeClr>
                      </a:solidFill>
                      <a:uFillTx/>
                      <a:latin typeface="Calibri"/>
                    </a:defRPr>
                  </a:pPr>
                  <a:endParaRPr lang="en-US"/>
                </a:p>
              </c:txPr>
              <c:dLblPos val="outEnd"/>
              <c:showLegendKey val="0"/>
              <c:showVal val="1"/>
              <c:showCatName val="0"/>
              <c:showSerName val="0"/>
              <c:showPercent val="0"/>
              <c:showBubbleSize val="1"/>
              <c:extLst>
                <c:ext xmlns:c16="http://schemas.microsoft.com/office/drawing/2014/chart" uri="{C3380CC4-5D6E-409C-BE32-E72D297353CC}">
                  <c16:uniqueId val="{00000003-2A1B-9D45-9117-908A38BC80A2}"/>
                </c:ext>
              </c:extLst>
            </c:dLbl>
            <c:dLbl>
              <c:idx val="2"/>
              <c:spPr/>
              <c:txPr>
                <a:bodyPr wrap="square"/>
                <a:lstStyle/>
                <a:p>
                  <a:pPr>
                    <a:defRPr sz="900" b="0" u="none" strike="noStrike">
                      <a:solidFill>
                        <a:schemeClr val="tx1">
                          <a:lumMod val="75000"/>
                          <a:lumOff val="25000"/>
                        </a:schemeClr>
                      </a:solidFill>
                      <a:uFillTx/>
                      <a:latin typeface="Calibri"/>
                    </a:defRPr>
                  </a:pPr>
                  <a:endParaRPr lang="en-US"/>
                </a:p>
              </c:txPr>
              <c:dLblPos val="outEnd"/>
              <c:showLegendKey val="0"/>
              <c:showVal val="1"/>
              <c:showCatName val="0"/>
              <c:showSerName val="0"/>
              <c:showPercent val="0"/>
              <c:showBubbleSize val="1"/>
              <c:extLst>
                <c:ext xmlns:c16="http://schemas.microsoft.com/office/drawing/2014/chart" uri="{C3380CC4-5D6E-409C-BE32-E72D297353CC}">
                  <c16:uniqueId val="{00000005-2A1B-9D45-9117-908A38BC80A2}"/>
                </c:ext>
              </c:extLst>
            </c:dLbl>
            <c:dLbl>
              <c:idx val="3"/>
              <c:spPr/>
              <c:txPr>
                <a:bodyPr wrap="square"/>
                <a:lstStyle/>
                <a:p>
                  <a:pPr>
                    <a:defRPr sz="900" b="0" u="none" strike="noStrike">
                      <a:solidFill>
                        <a:schemeClr val="tx1">
                          <a:lumMod val="75000"/>
                          <a:lumOff val="25000"/>
                        </a:schemeClr>
                      </a:solidFill>
                      <a:uFillTx/>
                      <a:latin typeface="Calibri"/>
                    </a:defRPr>
                  </a:pPr>
                  <a:endParaRPr lang="en-US"/>
                </a:p>
              </c:txPr>
              <c:dLblPos val="outEnd"/>
              <c:showLegendKey val="0"/>
              <c:showVal val="1"/>
              <c:showCatName val="0"/>
              <c:showSerName val="0"/>
              <c:showPercent val="0"/>
              <c:showBubbleSize val="1"/>
              <c:extLst>
                <c:ext xmlns:c16="http://schemas.microsoft.com/office/drawing/2014/chart" uri="{C3380CC4-5D6E-409C-BE32-E72D297353CC}">
                  <c16:uniqueId val="{00000007-2A1B-9D45-9117-908A38BC80A2}"/>
                </c:ext>
              </c:extLst>
            </c:dLbl>
            <c:dLbl>
              <c:idx val="4"/>
              <c:spPr/>
              <c:txPr>
                <a:bodyPr wrap="square"/>
                <a:lstStyle/>
                <a:p>
                  <a:pPr>
                    <a:defRPr sz="900" b="0" u="none" strike="noStrike">
                      <a:solidFill>
                        <a:schemeClr val="tx1">
                          <a:lumMod val="75000"/>
                          <a:lumOff val="25000"/>
                        </a:schemeClr>
                      </a:solidFill>
                      <a:uFillTx/>
                      <a:latin typeface="Calibri"/>
                    </a:defRPr>
                  </a:pPr>
                  <a:endParaRPr lang="en-US"/>
                </a:p>
              </c:txPr>
              <c:dLblPos val="outEnd"/>
              <c:showLegendKey val="0"/>
              <c:showVal val="1"/>
              <c:showCatName val="0"/>
              <c:showSerName val="0"/>
              <c:showPercent val="0"/>
              <c:showBubbleSize val="1"/>
              <c:extLst>
                <c:ext xmlns:c16="http://schemas.microsoft.com/office/drawing/2014/chart" uri="{C3380CC4-5D6E-409C-BE32-E72D297353CC}">
                  <c16:uniqueId val="{00000009-2A1B-9D45-9117-908A38BC80A2}"/>
                </c:ext>
              </c:extLst>
            </c:dLbl>
            <c:dLbl>
              <c:idx val="5"/>
              <c:spPr/>
              <c:txPr>
                <a:bodyPr wrap="square"/>
                <a:lstStyle/>
                <a:p>
                  <a:pPr>
                    <a:defRPr sz="900" b="0" u="none" strike="noStrike">
                      <a:solidFill>
                        <a:schemeClr val="tx1">
                          <a:lumMod val="75000"/>
                          <a:lumOff val="25000"/>
                        </a:schemeClr>
                      </a:solidFill>
                      <a:uFillTx/>
                      <a:latin typeface="Calibri"/>
                    </a:defRPr>
                  </a:pPr>
                  <a:endParaRPr lang="en-US"/>
                </a:p>
              </c:txPr>
              <c:dLblPos val="outEnd"/>
              <c:showLegendKey val="0"/>
              <c:showVal val="1"/>
              <c:showCatName val="0"/>
              <c:showSerName val="0"/>
              <c:showPercent val="0"/>
              <c:showBubbleSize val="1"/>
              <c:extLst>
                <c:ext xmlns:c16="http://schemas.microsoft.com/office/drawing/2014/chart" uri="{C3380CC4-5D6E-409C-BE32-E72D297353CC}">
                  <c16:uniqueId val="{0000000B-2A1B-9D45-9117-908A38BC80A2}"/>
                </c:ext>
              </c:extLst>
            </c:dLbl>
            <c:spPr>
              <a:noFill/>
              <a:ln>
                <a:noFill/>
              </a:ln>
              <a:effectLst/>
            </c:spPr>
            <c:txPr>
              <a:bodyPr wrap="square"/>
              <a:lstStyle/>
              <a:p>
                <a:pPr>
                  <a:defRPr sz="900" b="0" u="none" strike="noStrike">
                    <a:solidFill>
                      <a:schemeClr val="tx1">
                        <a:lumMod val="75000"/>
                        <a:lumOff val="25000"/>
                      </a:schemeClr>
                    </a:solidFill>
                    <a:uFillTx/>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'Step4. Dashboard'!$A$19:$A$24</c:f>
              <c:strCache>
                <c:ptCount val="6"/>
                <c:pt idx="0">
                  <c:v>No / None</c:v>
                </c:pt>
                <c:pt idx="1">
                  <c:v>Ad hoc</c:v>
                </c:pt>
                <c:pt idx="2">
                  <c:v>Partial</c:v>
                </c:pt>
                <c:pt idx="3">
                  <c:v>Formal</c:v>
                </c:pt>
                <c:pt idx="4">
                  <c:v>Embedded</c:v>
                </c:pt>
                <c:pt idx="5">
                  <c:v>N/A</c:v>
                </c:pt>
              </c:strCache>
            </c:strRef>
          </c:cat>
          <c:val>
            <c:numRef>
              <c:f>'Step4. Dashboard'!$B$19:$B$24</c:f>
              <c:numCache>
                <c:formatCode>General</c:formatCode>
                <c:ptCount val="6"/>
                <c:pt idx="0">
                  <c:v>0</c:v>
                </c:pt>
                <c:pt idx="1">
                  <c:v>0</c:v>
                </c:pt>
                <c:pt idx="2">
                  <c:v>0</c:v>
                </c:pt>
                <c:pt idx="3">
                  <c:v>55</c:v>
                </c:pt>
                <c:pt idx="4">
                  <c:v>0</c:v>
                </c:pt>
                <c:pt idx="5">
                  <c:v>0</c:v>
                </c:pt>
              </c:numCache>
            </c:numRef>
          </c:val>
          <c:extLst>
            <c:ext xmlns:c16="http://schemas.microsoft.com/office/drawing/2014/chart" uri="{C3380CC4-5D6E-409C-BE32-E72D297353CC}">
              <c16:uniqueId val="{0000000C-2A1B-9D45-9117-908A38BC80A2}"/>
            </c:ext>
          </c:extLst>
        </c:ser>
        <c:dLbls>
          <c:showLegendKey val="0"/>
          <c:showVal val="0"/>
          <c:showCatName val="0"/>
          <c:showSerName val="0"/>
          <c:showPercent val="0"/>
          <c:showBubbleSize val="0"/>
        </c:dLbls>
        <c:gapWidth val="132"/>
        <c:axId val="44338356"/>
        <c:axId val="11712818"/>
      </c:barChart>
      <c:catAx>
        <c:axId val="44338356"/>
        <c:scaling>
          <c:orientation val="minMax"/>
        </c:scaling>
        <c:delete val="0"/>
        <c:axPos val="l"/>
        <c:numFmt formatCode="General" sourceLinked="0"/>
        <c:majorTickMark val="none"/>
        <c:minorTickMark val="none"/>
        <c:tickLblPos val="nextTo"/>
        <c:spPr>
          <a:ln w="9360">
            <a:solidFill>
              <a:schemeClr val="dk1">
                <a:lumMod val="15000"/>
                <a:lumOff val="85000"/>
              </a:schemeClr>
            </a:solidFill>
            <a:round/>
          </a:ln>
        </c:spPr>
        <c:txPr>
          <a:bodyPr/>
          <a:lstStyle/>
          <a:p>
            <a:pPr>
              <a:defRPr sz="800" b="0" u="none" strike="noStrike">
                <a:solidFill>
                  <a:srgbClr val="1F1F1F"/>
                </a:solidFill>
                <a:uFillTx/>
                <a:latin typeface="Calibri"/>
              </a:defRPr>
            </a:pPr>
            <a:endParaRPr lang="en-US"/>
          </a:p>
        </c:txPr>
        <c:crossAx val="11712818"/>
        <c:crosses val="autoZero"/>
        <c:auto val="1"/>
        <c:lblAlgn val="ctr"/>
        <c:lblOffset val="100"/>
        <c:noMultiLvlLbl val="0"/>
      </c:catAx>
      <c:valAx>
        <c:axId val="11712818"/>
        <c:scaling>
          <c:orientation val="minMax"/>
        </c:scaling>
        <c:delete val="0"/>
        <c:axPos val="b"/>
        <c:majorGridlines>
          <c:spPr>
            <a:ln w="9360">
              <a:solidFill>
                <a:schemeClr val="dk1">
                  <a:lumMod val="15000"/>
                  <a:lumOff val="85000"/>
                </a:schemeClr>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1F1F1F"/>
                </a:solidFill>
                <a:uFillTx/>
                <a:latin typeface="Calibri"/>
              </a:defRPr>
            </a:pPr>
            <a:endParaRPr lang="en-US"/>
          </a:p>
        </c:txPr>
        <c:crossAx val="44338356"/>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002A41"/>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0</xdr:row>
      <xdr:rowOff>0</xdr:rowOff>
    </xdr:from>
    <xdr:to>
      <xdr:col>9</xdr:col>
      <xdr:colOff>617400</xdr:colOff>
      <xdr:row>0</xdr:row>
      <xdr:rowOff>333000</xdr:rowOff>
    </xdr:to>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6827400" y="0"/>
          <a:ext cx="1428480" cy="33300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0</xdr:colOff>
      <xdr:row>0</xdr:row>
      <xdr:rowOff>0</xdr:rowOff>
    </xdr:from>
    <xdr:to>
      <xdr:col>12</xdr:col>
      <xdr:colOff>312480</xdr:colOff>
      <xdr:row>0</xdr:row>
      <xdr:rowOff>333000</xdr:rowOff>
    </xdr:to>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10441800" y="0"/>
          <a:ext cx="1428480" cy="33300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0</xdr:colOff>
      <xdr:row>0</xdr:row>
      <xdr:rowOff>0</xdr:rowOff>
    </xdr:from>
    <xdr:to>
      <xdr:col>8</xdr:col>
      <xdr:colOff>183960</xdr:colOff>
      <xdr:row>0</xdr:row>
      <xdr:rowOff>333000</xdr:rowOff>
    </xdr:to>
    <xdr:pic>
      <xdr:nvPicPr>
        <xdr:cNvPr id="3" name="Image 1" descr="Picture">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a:stretch/>
      </xdr:blipFill>
      <xdr:spPr>
        <a:xfrm>
          <a:off x="7048440" y="0"/>
          <a:ext cx="1428480" cy="333000"/>
        </a:xfrm>
        <a:prstGeom prst="rect">
          <a:avLst/>
        </a:prstGeom>
        <a:noFill/>
        <a:ln w="0">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1407960</xdr:colOff>
      <xdr:row>0</xdr:row>
      <xdr:rowOff>0</xdr:rowOff>
    </xdr:from>
    <xdr:to>
      <xdr:col>1</xdr:col>
      <xdr:colOff>1409400</xdr:colOff>
      <xdr:row>0</xdr:row>
      <xdr:rowOff>333000</xdr:rowOff>
    </xdr:to>
    <xdr:pic>
      <xdr:nvPicPr>
        <xdr:cNvPr id="4" name="Image 1"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1"/>
        <a:stretch/>
      </xdr:blipFill>
      <xdr:spPr>
        <a:xfrm>
          <a:off x="5637240" y="0"/>
          <a:ext cx="1440" cy="333000"/>
        </a:xfrm>
        <a:prstGeom prst="rect">
          <a:avLst/>
        </a:prstGeom>
        <a:noFill/>
        <a:ln w="0">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453960</xdr:colOff>
      <xdr:row>25</xdr:row>
      <xdr:rowOff>173520</xdr:rowOff>
    </xdr:from>
    <xdr:to>
      <xdr:col>3</xdr:col>
      <xdr:colOff>3500280</xdr:colOff>
      <xdr:row>34</xdr:row>
      <xdr:rowOff>199800</xdr:rowOff>
    </xdr:to>
    <xdr:graphicFrame macro="">
      <xdr:nvGraphicFramePr>
        <xdr:cNvPr id="5" name="Chart 2">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2814480</xdr:colOff>
      <xdr:row>15</xdr:row>
      <xdr:rowOff>174600</xdr:rowOff>
    </xdr:from>
    <xdr:to>
      <xdr:col>4</xdr:col>
      <xdr:colOff>1380600</xdr:colOff>
      <xdr:row>24</xdr:row>
      <xdr:rowOff>63000</xdr:rowOff>
    </xdr:to>
    <xdr:graphicFrame macro="">
      <xdr:nvGraphicFramePr>
        <xdr:cNvPr id="6" name="Chart 3">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231120</xdr:colOff>
      <xdr:row>15</xdr:row>
      <xdr:rowOff>174600</xdr:rowOff>
    </xdr:from>
    <xdr:to>
      <xdr:col>3</xdr:col>
      <xdr:colOff>1427760</xdr:colOff>
      <xdr:row>23</xdr:row>
      <xdr:rowOff>118440</xdr:rowOff>
    </xdr:to>
    <xdr:graphicFrame macro="">
      <xdr:nvGraphicFramePr>
        <xdr:cNvPr id="7" name="Chart 1">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0</xdr:colOff>
      <xdr:row>0</xdr:row>
      <xdr:rowOff>0</xdr:rowOff>
    </xdr:from>
    <xdr:to>
      <xdr:col>3</xdr:col>
      <xdr:colOff>1428480</xdr:colOff>
      <xdr:row>0</xdr:row>
      <xdr:rowOff>333000</xdr:rowOff>
    </xdr:to>
    <xdr:pic>
      <xdr:nvPicPr>
        <xdr:cNvPr id="8" name="Image 4" descr="Picture">
          <a:extLst>
            <a:ext uri="{FF2B5EF4-FFF2-40B4-BE49-F238E27FC236}">
              <a16:creationId xmlns:a16="http://schemas.microsoft.com/office/drawing/2014/main" id="{00000000-0008-0000-0400-000008000000}"/>
            </a:ext>
          </a:extLst>
        </xdr:cNvPr>
        <xdr:cNvPicPr/>
      </xdr:nvPicPr>
      <xdr:blipFill>
        <a:blip xmlns:r="http://schemas.openxmlformats.org/officeDocument/2006/relationships" r:embed="rId4"/>
        <a:stretch/>
      </xdr:blipFill>
      <xdr:spPr>
        <a:xfrm>
          <a:off x="7330320" y="0"/>
          <a:ext cx="1428480" cy="333000"/>
        </a:xfrm>
        <a:prstGeom prst="rect">
          <a:avLst/>
        </a:prstGeom>
        <a:noFill/>
        <a:ln w="0">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4</xdr:col>
      <xdr:colOff>183600</xdr:colOff>
      <xdr:row>0</xdr:row>
      <xdr:rowOff>333000</xdr:rowOff>
    </xdr:to>
    <xdr:pic>
      <xdr:nvPicPr>
        <xdr:cNvPr id="9" name="Image 1" descr="Picture">
          <a:extLst>
            <a:ext uri="{FF2B5EF4-FFF2-40B4-BE49-F238E27FC236}">
              <a16:creationId xmlns:a16="http://schemas.microsoft.com/office/drawing/2014/main" id="{00000000-0008-0000-0500-000009000000}"/>
            </a:ext>
          </a:extLst>
        </xdr:cNvPr>
        <xdr:cNvPicPr/>
      </xdr:nvPicPr>
      <xdr:blipFill>
        <a:blip xmlns:r="http://schemas.openxmlformats.org/officeDocument/2006/relationships" r:embed="rId1"/>
        <a:stretch/>
      </xdr:blipFill>
      <xdr:spPr>
        <a:xfrm>
          <a:off x="9597240" y="0"/>
          <a:ext cx="1428480" cy="333000"/>
        </a:xfrm>
        <a:prstGeom prst="rect">
          <a:avLst/>
        </a:prstGeom>
        <a:noFill/>
        <a:ln w="0">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63360</xdr:colOff>
      <xdr:row>0</xdr:row>
      <xdr:rowOff>177840</xdr:rowOff>
    </xdr:from>
    <xdr:to>
      <xdr:col>0</xdr:col>
      <xdr:colOff>3522960</xdr:colOff>
      <xdr:row>3</xdr:row>
      <xdr:rowOff>54000</xdr:rowOff>
    </xdr:to>
    <xdr:pic>
      <xdr:nvPicPr>
        <xdr:cNvPr id="10" name="Picture 2">
          <a:extLst>
            <a:ext uri="{FF2B5EF4-FFF2-40B4-BE49-F238E27FC236}">
              <a16:creationId xmlns:a16="http://schemas.microsoft.com/office/drawing/2014/main" id="{00000000-0008-0000-0600-00000A000000}"/>
            </a:ext>
          </a:extLst>
        </xdr:cNvPr>
        <xdr:cNvPicPr/>
      </xdr:nvPicPr>
      <xdr:blipFill>
        <a:blip xmlns:r="http://schemas.openxmlformats.org/officeDocument/2006/relationships" r:embed="rId1"/>
        <a:stretch/>
      </xdr:blipFill>
      <xdr:spPr>
        <a:xfrm>
          <a:off x="63360" y="177840"/>
          <a:ext cx="3459600" cy="799920"/>
        </a:xfrm>
        <a:prstGeom prst="rect">
          <a:avLst/>
        </a:prstGeom>
        <a:noFill/>
        <a:ln w="0">
          <a:noFill/>
        </a:ln>
      </xdr:spPr>
    </xdr:pic>
    <xdr:clientData/>
  </xdr:twoCellAnchor>
  <xdr:twoCellAnchor editAs="oneCell">
    <xdr:from>
      <xdr:col>2</xdr:col>
      <xdr:colOff>0</xdr:colOff>
      <xdr:row>0</xdr:row>
      <xdr:rowOff>0</xdr:rowOff>
    </xdr:from>
    <xdr:to>
      <xdr:col>3</xdr:col>
      <xdr:colOff>676080</xdr:colOff>
      <xdr:row>0</xdr:row>
      <xdr:rowOff>333000</xdr:rowOff>
    </xdr:to>
    <xdr:pic>
      <xdr:nvPicPr>
        <xdr:cNvPr id="11" name="Image 2" descr="Picture">
          <a:extLst>
            <a:ext uri="{FF2B5EF4-FFF2-40B4-BE49-F238E27FC236}">
              <a16:creationId xmlns:a16="http://schemas.microsoft.com/office/drawing/2014/main" id="{00000000-0008-0000-0600-00000B000000}"/>
            </a:ext>
          </a:extLst>
        </xdr:cNvPr>
        <xdr:cNvPicPr/>
      </xdr:nvPicPr>
      <xdr:blipFill>
        <a:blip xmlns:r="http://schemas.openxmlformats.org/officeDocument/2006/relationships" r:embed="rId2"/>
        <a:stretch/>
      </xdr:blipFill>
      <xdr:spPr>
        <a:xfrm>
          <a:off x="6391440" y="0"/>
          <a:ext cx="1428480" cy="333000"/>
        </a:xfrm>
        <a:prstGeom prst="rect">
          <a:avLst/>
        </a:prstGeom>
        <a:noFill/>
        <a:ln w="0">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63360</xdr:colOff>
      <xdr:row>0</xdr:row>
      <xdr:rowOff>177840</xdr:rowOff>
    </xdr:from>
    <xdr:to>
      <xdr:col>0</xdr:col>
      <xdr:colOff>3522960</xdr:colOff>
      <xdr:row>3</xdr:row>
      <xdr:rowOff>54000</xdr:rowOff>
    </xdr:to>
    <xdr:pic>
      <xdr:nvPicPr>
        <xdr:cNvPr id="12" name="Picture 3">
          <a:extLst>
            <a:ext uri="{FF2B5EF4-FFF2-40B4-BE49-F238E27FC236}">
              <a16:creationId xmlns:a16="http://schemas.microsoft.com/office/drawing/2014/main" id="{00000000-0008-0000-0700-00000C000000}"/>
            </a:ext>
          </a:extLst>
        </xdr:cNvPr>
        <xdr:cNvPicPr/>
      </xdr:nvPicPr>
      <xdr:blipFill>
        <a:blip xmlns:r="http://schemas.openxmlformats.org/officeDocument/2006/relationships" r:embed="rId1"/>
        <a:stretch/>
      </xdr:blipFill>
      <xdr:spPr>
        <a:xfrm>
          <a:off x="63360" y="177840"/>
          <a:ext cx="3459600" cy="799920"/>
        </a:xfrm>
        <a:prstGeom prst="rect">
          <a:avLst/>
        </a:prstGeom>
        <a:noFill/>
        <a:ln w="0">
          <a:noFill/>
        </a:ln>
      </xdr:spPr>
    </xdr:pic>
    <xdr:clientData/>
  </xdr:twoCellAnchor>
  <xdr:twoCellAnchor editAs="oneCell">
    <xdr:from>
      <xdr:col>2</xdr:col>
      <xdr:colOff>0</xdr:colOff>
      <xdr:row>0</xdr:row>
      <xdr:rowOff>0</xdr:rowOff>
    </xdr:from>
    <xdr:to>
      <xdr:col>3</xdr:col>
      <xdr:colOff>676080</xdr:colOff>
      <xdr:row>0</xdr:row>
      <xdr:rowOff>333000</xdr:rowOff>
    </xdr:to>
    <xdr:pic>
      <xdr:nvPicPr>
        <xdr:cNvPr id="13" name="Image 2" descr="Picture">
          <a:extLst>
            <a:ext uri="{FF2B5EF4-FFF2-40B4-BE49-F238E27FC236}">
              <a16:creationId xmlns:a16="http://schemas.microsoft.com/office/drawing/2014/main" id="{00000000-0008-0000-0700-00000D000000}"/>
            </a:ext>
          </a:extLst>
        </xdr:cNvPr>
        <xdr:cNvPicPr/>
      </xdr:nvPicPr>
      <xdr:blipFill>
        <a:blip xmlns:r="http://schemas.openxmlformats.org/officeDocument/2006/relationships" r:embed="rId2"/>
        <a:stretch/>
      </xdr:blipFill>
      <xdr:spPr>
        <a:xfrm>
          <a:off x="6391440" y="0"/>
          <a:ext cx="1428480" cy="333000"/>
        </a:xfrm>
        <a:prstGeom prst="rect">
          <a:avLst/>
        </a:prstGeom>
        <a:noFill/>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A2E44"/>
  </sheetPr>
  <dimension ref="A1:K107"/>
  <sheetViews>
    <sheetView showGridLines="0" zoomScale="110" zoomScaleNormal="110" workbookViewId="0">
      <selection activeCell="A10" sqref="A10"/>
    </sheetView>
  </sheetViews>
  <sheetFormatPr baseColWidth="10" defaultColWidth="11.5" defaultRowHeight="15" x14ac:dyDescent="0.2"/>
  <cols>
    <col min="1" max="5" width="11.5" style="1"/>
    <col min="6" max="6" width="16.33203125" style="1" customWidth="1"/>
    <col min="7" max="9" width="11.5" style="1"/>
    <col min="10" max="10" width="12.6640625" style="1" customWidth="1"/>
    <col min="11" max="11" width="11.5" style="2"/>
    <col min="12" max="16384" width="11.5" style="1"/>
  </cols>
  <sheetData>
    <row r="1" spans="1:11" ht="36" customHeight="1" x14ac:dyDescent="0.2">
      <c r="A1" s="3" t="s">
        <v>0</v>
      </c>
      <c r="B1" s="4"/>
      <c r="C1" s="4"/>
      <c r="D1" s="4"/>
      <c r="E1" s="4"/>
      <c r="F1" s="4"/>
      <c r="G1" s="4"/>
      <c r="H1" s="4"/>
      <c r="I1" s="4"/>
      <c r="J1" s="5"/>
    </row>
    <row r="2" spans="1:11" ht="21.75" customHeight="1" x14ac:dyDescent="0.2">
      <c r="A2" s="6" t="s">
        <v>1</v>
      </c>
      <c r="B2" s="7"/>
      <c r="C2" s="7"/>
      <c r="D2" s="7"/>
      <c r="E2" s="7"/>
      <c r="F2" s="7"/>
      <c r="G2" s="7"/>
      <c r="H2" s="8"/>
      <c r="I2" s="8"/>
      <c r="J2" s="8"/>
    </row>
    <row r="3" spans="1:11" x14ac:dyDescent="0.2">
      <c r="A3" s="9" t="s">
        <v>2</v>
      </c>
      <c r="B3" s="10"/>
      <c r="C3" s="10"/>
      <c r="D3" s="10"/>
      <c r="E3" s="10"/>
      <c r="F3" s="10"/>
      <c r="G3" s="10"/>
    </row>
    <row r="4" spans="1:11" x14ac:dyDescent="0.2">
      <c r="A4" s="10" t="s">
        <v>3</v>
      </c>
      <c r="B4" s="10"/>
      <c r="C4" s="10"/>
      <c r="D4" s="10"/>
      <c r="E4" s="10"/>
      <c r="F4" s="10"/>
      <c r="G4" s="10"/>
    </row>
    <row r="5" spans="1:11" x14ac:dyDescent="0.2">
      <c r="A5" s="10"/>
      <c r="B5" s="10" t="s">
        <v>4</v>
      </c>
      <c r="C5" s="10"/>
      <c r="D5" s="10"/>
      <c r="E5" s="10"/>
      <c r="F5" s="10"/>
      <c r="G5" s="10"/>
    </row>
    <row r="6" spans="1:11" x14ac:dyDescent="0.2">
      <c r="A6" s="10"/>
      <c r="B6" s="10" t="s">
        <v>5</v>
      </c>
      <c r="C6" s="10"/>
      <c r="D6" s="10"/>
      <c r="E6" s="10"/>
      <c r="F6" s="10"/>
      <c r="G6" s="10"/>
    </row>
    <row r="7" spans="1:11" x14ac:dyDescent="0.2">
      <c r="A7" s="10" t="s">
        <v>6</v>
      </c>
      <c r="B7" s="10"/>
      <c r="C7" s="10"/>
      <c r="D7" s="10"/>
      <c r="E7" s="10"/>
      <c r="F7" s="10"/>
      <c r="G7" s="10"/>
    </row>
    <row r="8" spans="1:11" x14ac:dyDescent="0.2">
      <c r="A8" s="10"/>
      <c r="B8" s="10" t="s">
        <v>7</v>
      </c>
      <c r="C8" s="10"/>
      <c r="D8" s="10"/>
      <c r="E8" s="10"/>
      <c r="F8" s="10"/>
      <c r="G8" s="10"/>
    </row>
    <row r="9" spans="1:11" x14ac:dyDescent="0.2">
      <c r="A9" s="10"/>
      <c r="B9" s="10" t="s">
        <v>8</v>
      </c>
      <c r="C9" s="10"/>
      <c r="D9" s="10"/>
      <c r="E9" s="10"/>
      <c r="F9" s="10"/>
      <c r="G9" s="10"/>
    </row>
    <row r="10" spans="1:11" x14ac:dyDescent="0.2">
      <c r="A10" s="2" t="s">
        <v>9</v>
      </c>
      <c r="B10" s="2"/>
      <c r="C10" s="2"/>
      <c r="K10" s="11"/>
    </row>
    <row r="11" spans="1:11" x14ac:dyDescent="0.2">
      <c r="A11" s="2"/>
      <c r="B11" s="2" t="s">
        <v>10</v>
      </c>
      <c r="C11" s="2"/>
      <c r="K11" s="11"/>
    </row>
    <row r="12" spans="1:11" x14ac:dyDescent="0.2">
      <c r="A12" s="2"/>
      <c r="B12" s="2" t="s">
        <v>11</v>
      </c>
      <c r="C12" s="2"/>
      <c r="K12" s="11"/>
    </row>
    <row r="13" spans="1:11" x14ac:dyDescent="0.2">
      <c r="A13" s="2"/>
      <c r="B13" s="2" t="s">
        <v>12</v>
      </c>
      <c r="C13" s="2"/>
      <c r="K13" s="11"/>
    </row>
    <row r="15" spans="1:11" x14ac:dyDescent="0.2">
      <c r="A15" s="9" t="s">
        <v>13</v>
      </c>
      <c r="B15" s="10"/>
      <c r="C15" s="10"/>
      <c r="D15" s="10"/>
    </row>
    <row r="16" spans="1:11" x14ac:dyDescent="0.2">
      <c r="A16" s="10" t="s">
        <v>14</v>
      </c>
      <c r="B16" s="10"/>
      <c r="C16" s="10"/>
      <c r="D16" s="10"/>
    </row>
    <row r="17" spans="1:4" x14ac:dyDescent="0.2">
      <c r="A17" s="10"/>
      <c r="B17" s="10"/>
      <c r="C17" s="10"/>
      <c r="D17" s="10"/>
    </row>
    <row r="18" spans="1:4" x14ac:dyDescent="0.2">
      <c r="A18" s="12" t="s">
        <v>15</v>
      </c>
      <c r="B18" s="10"/>
      <c r="C18" s="10"/>
      <c r="D18" s="10"/>
    </row>
    <row r="19" spans="1:4" x14ac:dyDescent="0.2">
      <c r="A19" s="10" t="s">
        <v>16</v>
      </c>
      <c r="B19" s="10"/>
      <c r="C19" s="10"/>
      <c r="D19" s="10"/>
    </row>
    <row r="20" spans="1:4" x14ac:dyDescent="0.2">
      <c r="A20" s="10" t="s">
        <v>17</v>
      </c>
      <c r="B20" s="10"/>
      <c r="C20" s="10"/>
      <c r="D20" s="10"/>
    </row>
    <row r="21" spans="1:4" x14ac:dyDescent="0.2">
      <c r="A21" s="10" t="s">
        <v>18</v>
      </c>
      <c r="B21" s="10"/>
      <c r="C21" s="10"/>
      <c r="D21" s="10"/>
    </row>
    <row r="22" spans="1:4" x14ac:dyDescent="0.2">
      <c r="A22" s="10"/>
      <c r="B22" s="10" t="s">
        <v>19</v>
      </c>
      <c r="C22" s="10"/>
      <c r="D22" s="10"/>
    </row>
    <row r="23" spans="1:4" x14ac:dyDescent="0.2">
      <c r="A23" s="10"/>
      <c r="B23" s="10" t="s">
        <v>20</v>
      </c>
      <c r="C23" s="10"/>
      <c r="D23" s="10"/>
    </row>
    <row r="24" spans="1:4" x14ac:dyDescent="0.2">
      <c r="A24" s="10"/>
      <c r="B24" s="10" t="s">
        <v>21</v>
      </c>
      <c r="C24" s="10"/>
      <c r="D24" s="10"/>
    </row>
    <row r="25" spans="1:4" x14ac:dyDescent="0.2">
      <c r="A25" s="10"/>
      <c r="B25" s="10" t="s">
        <v>22</v>
      </c>
      <c r="C25" s="10"/>
      <c r="D25" s="10"/>
    </row>
    <row r="26" spans="1:4" x14ac:dyDescent="0.2">
      <c r="A26" s="10"/>
      <c r="B26" s="10" t="s">
        <v>23</v>
      </c>
      <c r="C26" s="10"/>
      <c r="D26" s="10"/>
    </row>
    <row r="27" spans="1:4" x14ac:dyDescent="0.2">
      <c r="A27" s="10"/>
      <c r="B27" s="10" t="s">
        <v>24</v>
      </c>
      <c r="C27" s="10"/>
      <c r="D27" s="10"/>
    </row>
    <row r="28" spans="1:4" x14ac:dyDescent="0.2">
      <c r="A28" s="10" t="s">
        <v>25</v>
      </c>
      <c r="B28" s="10"/>
      <c r="C28" s="10"/>
      <c r="D28" s="10"/>
    </row>
    <row r="29" spans="1:4" x14ac:dyDescent="0.2">
      <c r="A29" s="10" t="s">
        <v>26</v>
      </c>
      <c r="B29" s="10"/>
      <c r="C29" s="10"/>
      <c r="D29" s="10"/>
    </row>
    <row r="30" spans="1:4" x14ac:dyDescent="0.2">
      <c r="A30" s="10" t="s">
        <v>27</v>
      </c>
      <c r="B30" s="10"/>
      <c r="C30" s="10"/>
      <c r="D30" s="10"/>
    </row>
    <row r="31" spans="1:4" x14ac:dyDescent="0.2">
      <c r="A31" s="10"/>
      <c r="B31" s="10"/>
      <c r="C31" s="10"/>
      <c r="D31" s="10"/>
    </row>
    <row r="32" spans="1:4" x14ac:dyDescent="0.2">
      <c r="A32" s="12" t="s">
        <v>28</v>
      </c>
      <c r="B32" s="10"/>
      <c r="C32" s="10"/>
      <c r="D32" s="10"/>
    </row>
    <row r="33" spans="1:10" x14ac:dyDescent="0.2">
      <c r="A33" s="10" t="s">
        <v>29</v>
      </c>
      <c r="B33" s="10"/>
      <c r="C33" s="10"/>
      <c r="D33" s="10"/>
    </row>
    <row r="34" spans="1:10" x14ac:dyDescent="0.2">
      <c r="A34" s="10" t="s">
        <v>30</v>
      </c>
      <c r="B34" s="10"/>
      <c r="C34" s="10"/>
      <c r="D34" s="10"/>
      <c r="J34" s="13"/>
    </row>
    <row r="35" spans="1:10" x14ac:dyDescent="0.2">
      <c r="A35" s="10" t="s">
        <v>31</v>
      </c>
      <c r="B35" s="10"/>
      <c r="C35" s="10"/>
      <c r="D35" s="10"/>
    </row>
    <row r="36" spans="1:10" x14ac:dyDescent="0.2">
      <c r="A36" s="14" t="s">
        <v>32</v>
      </c>
      <c r="B36" s="10"/>
      <c r="C36" s="10"/>
      <c r="D36" s="10"/>
    </row>
    <row r="37" spans="1:10" x14ac:dyDescent="0.2">
      <c r="A37" s="14" t="s">
        <v>33</v>
      </c>
      <c r="B37" s="10"/>
      <c r="C37" s="10"/>
      <c r="D37" s="10"/>
    </row>
    <row r="38" spans="1:10" x14ac:dyDescent="0.2">
      <c r="A38" s="10"/>
      <c r="B38" s="10"/>
      <c r="C38" s="10"/>
      <c r="D38" s="10"/>
    </row>
    <row r="39" spans="1:10" x14ac:dyDescent="0.2">
      <c r="A39" s="10"/>
      <c r="B39" s="10"/>
      <c r="C39" s="10"/>
      <c r="D39" s="10"/>
    </row>
    <row r="40" spans="1:10" x14ac:dyDescent="0.2">
      <c r="A40" s="12" t="s">
        <v>34</v>
      </c>
      <c r="B40" s="10"/>
      <c r="C40" s="10"/>
      <c r="D40" s="10"/>
    </row>
    <row r="41" spans="1:10" x14ac:dyDescent="0.2">
      <c r="A41" s="10" t="s">
        <v>35</v>
      </c>
      <c r="B41" s="10"/>
      <c r="C41" s="10"/>
      <c r="D41" s="10"/>
    </row>
    <row r="42" spans="1:10" x14ac:dyDescent="0.2">
      <c r="A42" s="10" t="s">
        <v>36</v>
      </c>
      <c r="B42" s="10"/>
      <c r="C42" s="10"/>
      <c r="D42" s="10"/>
    </row>
    <row r="43" spans="1:10" x14ac:dyDescent="0.2">
      <c r="A43" s="10"/>
      <c r="B43" s="10" t="s">
        <v>37</v>
      </c>
      <c r="C43" s="10"/>
      <c r="D43" s="10"/>
    </row>
    <row r="44" spans="1:10" x14ac:dyDescent="0.2">
      <c r="A44" s="10"/>
      <c r="B44" s="10" t="s">
        <v>38</v>
      </c>
      <c r="C44" s="10"/>
      <c r="D44" s="10"/>
    </row>
    <row r="45" spans="1:10" x14ac:dyDescent="0.2">
      <c r="A45" s="10"/>
      <c r="B45" s="10"/>
      <c r="C45" s="10" t="s">
        <v>39</v>
      </c>
      <c r="D45" s="10"/>
    </row>
    <row r="46" spans="1:10" x14ac:dyDescent="0.2">
      <c r="A46" s="10"/>
      <c r="B46" s="10"/>
      <c r="C46" s="10" t="s">
        <v>40</v>
      </c>
      <c r="D46" s="10"/>
    </row>
    <row r="47" spans="1:10" x14ac:dyDescent="0.2">
      <c r="A47" s="10"/>
      <c r="B47" s="10"/>
      <c r="C47" s="10" t="s">
        <v>41</v>
      </c>
      <c r="D47" s="10"/>
    </row>
    <row r="48" spans="1:10" x14ac:dyDescent="0.2">
      <c r="A48" s="10"/>
      <c r="B48" s="10"/>
      <c r="C48" s="10"/>
      <c r="D48" s="10"/>
    </row>
    <row r="49" spans="1:7" x14ac:dyDescent="0.2">
      <c r="A49" s="12" t="s">
        <v>42</v>
      </c>
      <c r="B49" s="10"/>
      <c r="C49" s="10"/>
      <c r="D49" s="10"/>
    </row>
    <row r="50" spans="1:7" x14ac:dyDescent="0.2">
      <c r="A50" s="10" t="s">
        <v>43</v>
      </c>
      <c r="B50" s="10"/>
      <c r="C50" s="10"/>
      <c r="D50" s="10"/>
    </row>
    <row r="51" spans="1:7" x14ac:dyDescent="0.2">
      <c r="A51" s="10" t="s">
        <v>44</v>
      </c>
      <c r="B51" s="10"/>
      <c r="C51" s="10"/>
      <c r="D51" s="10"/>
    </row>
    <row r="52" spans="1:7" x14ac:dyDescent="0.2">
      <c r="A52" s="10"/>
      <c r="B52" s="14" t="s">
        <v>45</v>
      </c>
      <c r="C52" s="10"/>
      <c r="D52" s="10"/>
      <c r="G52" s="2"/>
    </row>
    <row r="53" spans="1:7" x14ac:dyDescent="0.2">
      <c r="A53" s="10"/>
      <c r="B53" s="10"/>
      <c r="C53" s="10" t="s">
        <v>46</v>
      </c>
      <c r="D53" s="10"/>
      <c r="G53" s="2"/>
    </row>
    <row r="54" spans="1:7" x14ac:dyDescent="0.2">
      <c r="A54" s="10"/>
      <c r="B54" s="10" t="s">
        <v>47</v>
      </c>
      <c r="C54" s="10"/>
      <c r="D54" s="10"/>
    </row>
    <row r="55" spans="1:7" x14ac:dyDescent="0.2">
      <c r="A55" s="10"/>
      <c r="B55" s="10"/>
      <c r="C55" s="10" t="s">
        <v>48</v>
      </c>
      <c r="D55" s="10"/>
    </row>
    <row r="56" spans="1:7" x14ac:dyDescent="0.2">
      <c r="A56" s="10"/>
      <c r="B56" s="10"/>
      <c r="C56" s="10" t="s">
        <v>49</v>
      </c>
      <c r="D56" s="10"/>
    </row>
    <row r="57" spans="1:7" x14ac:dyDescent="0.2">
      <c r="A57" s="10"/>
      <c r="B57" s="10"/>
      <c r="C57" s="10" t="s">
        <v>50</v>
      </c>
      <c r="D57" s="10"/>
    </row>
    <row r="58" spans="1:7" x14ac:dyDescent="0.2">
      <c r="A58" s="10"/>
      <c r="B58" s="10"/>
      <c r="C58" s="10" t="s">
        <v>51</v>
      </c>
      <c r="D58" s="10"/>
    </row>
    <row r="59" spans="1:7" x14ac:dyDescent="0.2">
      <c r="A59" s="10"/>
      <c r="B59" s="10"/>
      <c r="C59" s="10" t="s">
        <v>52</v>
      </c>
      <c r="D59" s="10"/>
    </row>
    <row r="60" spans="1:7" x14ac:dyDescent="0.2">
      <c r="A60" s="10"/>
      <c r="B60" s="14" t="s">
        <v>53</v>
      </c>
      <c r="C60" s="10"/>
      <c r="D60" s="10"/>
    </row>
    <row r="61" spans="1:7" x14ac:dyDescent="0.2">
      <c r="A61" s="10"/>
      <c r="B61" s="10" t="s">
        <v>54</v>
      </c>
      <c r="C61" s="10"/>
      <c r="D61" s="10"/>
    </row>
    <row r="62" spans="1:7" x14ac:dyDescent="0.2">
      <c r="A62" s="10"/>
      <c r="B62" s="10" t="s">
        <v>55</v>
      </c>
      <c r="C62" s="10"/>
      <c r="D62" s="10"/>
    </row>
    <row r="63" spans="1:7" x14ac:dyDescent="0.2">
      <c r="A63" s="10"/>
      <c r="B63" s="10"/>
      <c r="C63" s="10"/>
      <c r="D63" s="10"/>
    </row>
    <row r="64" spans="1:7" x14ac:dyDescent="0.2">
      <c r="A64" s="15" t="s">
        <v>56</v>
      </c>
    </row>
    <row r="65" spans="1:11" x14ac:dyDescent="0.2">
      <c r="A65" s="2" t="s">
        <v>57</v>
      </c>
      <c r="B65" s="2"/>
      <c r="C65" s="2"/>
      <c r="D65" s="2"/>
      <c r="E65" s="2"/>
      <c r="F65" s="2"/>
      <c r="G65" s="2"/>
    </row>
    <row r="66" spans="1:11" x14ac:dyDescent="0.2">
      <c r="A66" s="2" t="s">
        <v>58</v>
      </c>
      <c r="B66" s="2"/>
      <c r="C66" s="2"/>
      <c r="D66" s="2"/>
      <c r="E66" s="2"/>
      <c r="F66" s="2"/>
      <c r="G66" s="2"/>
    </row>
    <row r="67" spans="1:11" x14ac:dyDescent="0.2">
      <c r="A67" s="2" t="s">
        <v>59</v>
      </c>
      <c r="B67" s="2"/>
      <c r="C67" s="2"/>
      <c r="D67" s="2"/>
      <c r="E67" s="2"/>
      <c r="F67" s="2"/>
      <c r="G67" s="2"/>
    </row>
    <row r="69" spans="1:11" x14ac:dyDescent="0.2">
      <c r="A69" s="9" t="s">
        <v>60</v>
      </c>
      <c r="B69" s="10"/>
    </row>
    <row r="70" spans="1:11" x14ac:dyDescent="0.2">
      <c r="A70" s="10" t="s">
        <v>61</v>
      </c>
      <c r="B70" s="10"/>
      <c r="K70" s="11"/>
    </row>
    <row r="71" spans="1:11" x14ac:dyDescent="0.2">
      <c r="A71" s="10" t="s">
        <v>62</v>
      </c>
      <c r="B71" s="10"/>
    </row>
    <row r="72" spans="1:11" x14ac:dyDescent="0.2">
      <c r="A72" s="2" t="s">
        <v>63</v>
      </c>
    </row>
    <row r="73" spans="1:11" x14ac:dyDescent="0.2">
      <c r="A73" s="2" t="s">
        <v>64</v>
      </c>
    </row>
    <row r="74" spans="1:11" x14ac:dyDescent="0.2">
      <c r="A74" s="1" t="s">
        <v>65</v>
      </c>
    </row>
    <row r="76" spans="1:11" x14ac:dyDescent="0.2">
      <c r="A76" s="16" t="s">
        <v>66</v>
      </c>
    </row>
    <row r="77" spans="1:11" x14ac:dyDescent="0.2">
      <c r="A77" s="1" t="s">
        <v>67</v>
      </c>
    </row>
    <row r="79" spans="1:11" x14ac:dyDescent="0.2">
      <c r="B79" s="1" t="s">
        <v>68</v>
      </c>
      <c r="K79" s="11"/>
    </row>
    <row r="80" spans="1:11" x14ac:dyDescent="0.2">
      <c r="B80" s="1" t="s">
        <v>69</v>
      </c>
    </row>
    <row r="81" spans="1:11" x14ac:dyDescent="0.2">
      <c r="K81" s="1"/>
    </row>
    <row r="82" spans="1:11" x14ac:dyDescent="0.2">
      <c r="B82" s="1" t="s">
        <v>70</v>
      </c>
      <c r="K82" s="1"/>
    </row>
    <row r="83" spans="1:11" x14ac:dyDescent="0.2">
      <c r="C83" s="1" t="s">
        <v>71</v>
      </c>
      <c r="K83" s="1"/>
    </row>
    <row r="84" spans="1:11" x14ac:dyDescent="0.2">
      <c r="C84" s="1" t="s">
        <v>72</v>
      </c>
      <c r="K84" s="11"/>
    </row>
    <row r="85" spans="1:11" x14ac:dyDescent="0.2">
      <c r="C85" s="1" t="s">
        <v>73</v>
      </c>
      <c r="K85" s="11"/>
    </row>
    <row r="86" spans="1:11" ht="15.75" customHeight="1" x14ac:dyDescent="0.2">
      <c r="K86" s="11"/>
    </row>
    <row r="87" spans="1:11" ht="15.75" customHeight="1" x14ac:dyDescent="0.2">
      <c r="B87" s="17"/>
      <c r="C87" s="18"/>
      <c r="D87" s="18"/>
      <c r="E87" s="18"/>
      <c r="F87" s="18"/>
      <c r="G87" s="18"/>
      <c r="H87" s="19"/>
      <c r="K87" s="11"/>
    </row>
    <row r="88" spans="1:11" x14ac:dyDescent="0.2">
      <c r="K88" s="11"/>
    </row>
    <row r="89" spans="1:11" x14ac:dyDescent="0.2">
      <c r="A89" s="1" t="s">
        <v>74</v>
      </c>
      <c r="K89" s="11"/>
    </row>
    <row r="90" spans="1:11" x14ac:dyDescent="0.2">
      <c r="B90" s="1" t="s">
        <v>75</v>
      </c>
    </row>
    <row r="91" spans="1:11" x14ac:dyDescent="0.2">
      <c r="B91" s="1" t="s">
        <v>76</v>
      </c>
    </row>
    <row r="92" spans="1:11" x14ac:dyDescent="0.2">
      <c r="B92" s="1" t="s">
        <v>77</v>
      </c>
    </row>
    <row r="93" spans="1:11" x14ac:dyDescent="0.2">
      <c r="B93" s="1" t="s">
        <v>78</v>
      </c>
    </row>
    <row r="94" spans="1:11" ht="15.75" customHeight="1" x14ac:dyDescent="0.2">
      <c r="B94" s="1" t="s">
        <v>79</v>
      </c>
    </row>
    <row r="95" spans="1:11" ht="15.75" customHeight="1" x14ac:dyDescent="0.2">
      <c r="B95" s="17"/>
    </row>
    <row r="97" spans="1:1" x14ac:dyDescent="0.2">
      <c r="A97" s="16" t="s">
        <v>80</v>
      </c>
    </row>
    <row r="98" spans="1:1" x14ac:dyDescent="0.2">
      <c r="A98" s="1" t="s">
        <v>81</v>
      </c>
    </row>
    <row r="99" spans="1:1" x14ac:dyDescent="0.2">
      <c r="A99" s="1" t="s">
        <v>82</v>
      </c>
    </row>
    <row r="100" spans="1:1" x14ac:dyDescent="0.2">
      <c r="A100" s="2" t="s">
        <v>83</v>
      </c>
    </row>
    <row r="102" spans="1:1" x14ac:dyDescent="0.2">
      <c r="A102" s="20" t="s">
        <v>84</v>
      </c>
    </row>
    <row r="103" spans="1:1" x14ac:dyDescent="0.2">
      <c r="A103" s="1" t="s">
        <v>85</v>
      </c>
    </row>
    <row r="104" spans="1:1" x14ac:dyDescent="0.2">
      <c r="A104" s="1" t="s">
        <v>86</v>
      </c>
    </row>
    <row r="105" spans="1:1" x14ac:dyDescent="0.2">
      <c r="A105" s="1" t="s">
        <v>87</v>
      </c>
    </row>
    <row r="106" spans="1:1" x14ac:dyDescent="0.2">
      <c r="A106" s="1" t="s">
        <v>88</v>
      </c>
    </row>
    <row r="107" spans="1:1" x14ac:dyDescent="0.2">
      <c r="A107" s="1" t="s">
        <v>89</v>
      </c>
    </row>
  </sheetData>
  <pageMargins left="0.7" right="0.7"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B6CB0"/>
  </sheetPr>
  <dimension ref="A1:N64"/>
  <sheetViews>
    <sheetView showGridLines="0" tabSelected="1" zoomScale="90" zoomScaleNormal="90" workbookViewId="0">
      <pane ySplit="4" topLeftCell="A5" activePane="bottomLeft" state="frozen"/>
      <selection pane="bottomLeft" activeCell="D5" sqref="D5"/>
    </sheetView>
  </sheetViews>
  <sheetFormatPr baseColWidth="10" defaultColWidth="54" defaultRowHeight="15" x14ac:dyDescent="0.2"/>
  <cols>
    <col min="1" max="1" width="8" style="21" customWidth="1"/>
    <col min="2" max="2" width="14" style="10" customWidth="1"/>
    <col min="3" max="3" width="58" style="10" customWidth="1"/>
    <col min="4" max="4" width="24" style="10" customWidth="1"/>
    <col min="5" max="5" width="6" style="10" hidden="1" customWidth="1"/>
    <col min="6" max="11" width="8.83203125" style="10" customWidth="1"/>
    <col min="12" max="12" width="7" style="10" customWidth="1"/>
    <col min="13" max="16384" width="54" style="10"/>
  </cols>
  <sheetData>
    <row r="1" spans="1:14" ht="36" customHeight="1" x14ac:dyDescent="0.2">
      <c r="A1" s="3" t="s">
        <v>90</v>
      </c>
      <c r="B1" s="4"/>
      <c r="C1" s="4"/>
      <c r="D1" s="4"/>
      <c r="E1" s="4"/>
      <c r="F1" s="4"/>
      <c r="G1" s="22"/>
      <c r="H1" s="22"/>
      <c r="I1" s="22"/>
      <c r="J1" s="22"/>
      <c r="K1" s="22"/>
      <c r="L1" s="22"/>
      <c r="M1" s="22"/>
      <c r="N1" s="22"/>
    </row>
    <row r="2" spans="1:14" ht="21.75" customHeight="1" x14ac:dyDescent="0.2">
      <c r="A2" s="6" t="s">
        <v>91</v>
      </c>
      <c r="B2" s="8"/>
      <c r="C2" s="8"/>
      <c r="D2" s="8"/>
      <c r="E2" s="8"/>
      <c r="F2" s="8"/>
      <c r="G2" s="22"/>
      <c r="H2" s="22"/>
      <c r="I2" s="22"/>
      <c r="J2" s="22"/>
      <c r="K2" s="22"/>
      <c r="L2" s="22"/>
      <c r="M2" s="22"/>
      <c r="N2" s="22"/>
    </row>
    <row r="3" spans="1:14" x14ac:dyDescent="0.2">
      <c r="A3" s="10"/>
      <c r="G3" s="22"/>
      <c r="H3" s="22"/>
      <c r="I3" s="22"/>
      <c r="J3" s="22"/>
      <c r="K3" s="22"/>
      <c r="L3" s="22"/>
      <c r="M3" s="22"/>
      <c r="N3" s="22"/>
    </row>
    <row r="4" spans="1:14" s="9" customFormat="1" ht="18" customHeight="1" x14ac:dyDescent="0.2">
      <c r="A4" s="23" t="s">
        <v>92</v>
      </c>
      <c r="B4" s="24" t="s">
        <v>93</v>
      </c>
      <c r="C4" s="24" t="s">
        <v>94</v>
      </c>
      <c r="D4" s="23" t="s">
        <v>95</v>
      </c>
      <c r="E4" s="23"/>
      <c r="G4" s="22"/>
      <c r="H4" s="22"/>
      <c r="I4" s="22"/>
      <c r="J4" s="22"/>
      <c r="K4" s="25" t="s">
        <v>95</v>
      </c>
      <c r="L4" s="25" t="s">
        <v>96</v>
      </c>
      <c r="M4" s="25" t="s">
        <v>97</v>
      </c>
      <c r="N4" s="22"/>
    </row>
    <row r="5" spans="1:14" ht="43.5" customHeight="1" x14ac:dyDescent="0.2">
      <c r="A5" s="26">
        <v>1</v>
      </c>
      <c r="B5" s="27" t="s">
        <v>98</v>
      </c>
      <c r="C5" s="28" t="s">
        <v>99</v>
      </c>
      <c r="D5" s="26" t="s">
        <v>100</v>
      </c>
      <c r="E5" s="26">
        <f t="shared" ref="E5:E36" si="0">IF(D5="No / None",0,IF(D5="Ad hoc / Informal",1,IF(D5="Partial / Infrequent",2,IF(D5="Formal",3,IF(D5="Embedded",4,"")))))</f>
        <v>3</v>
      </c>
      <c r="G5" s="22"/>
      <c r="H5" s="22"/>
      <c r="I5" s="22"/>
      <c r="J5" s="22"/>
      <c r="K5" s="29" t="s">
        <v>101</v>
      </c>
      <c r="L5" s="30" t="s">
        <v>102</v>
      </c>
      <c r="M5" s="31" t="s">
        <v>103</v>
      </c>
      <c r="N5" s="22"/>
    </row>
    <row r="6" spans="1:14" ht="43.5" customHeight="1" x14ac:dyDescent="0.2">
      <c r="A6" s="26">
        <v>2</v>
      </c>
      <c r="B6" s="32" t="s">
        <v>98</v>
      </c>
      <c r="C6" s="28" t="s">
        <v>104</v>
      </c>
      <c r="D6" s="26" t="s">
        <v>100</v>
      </c>
      <c r="E6" s="26">
        <f t="shared" si="0"/>
        <v>3</v>
      </c>
      <c r="G6" s="22"/>
      <c r="H6" s="22"/>
      <c r="I6" s="22"/>
      <c r="J6" s="22"/>
      <c r="K6" s="33" t="s">
        <v>105</v>
      </c>
      <c r="L6" s="34" t="s">
        <v>106</v>
      </c>
      <c r="M6" s="35" t="s">
        <v>107</v>
      </c>
      <c r="N6" s="22"/>
    </row>
    <row r="7" spans="1:14" ht="43.5" customHeight="1" x14ac:dyDescent="0.2">
      <c r="A7" s="26">
        <v>3</v>
      </c>
      <c r="B7" s="32" t="s">
        <v>98</v>
      </c>
      <c r="C7" s="28" t="s">
        <v>108</v>
      </c>
      <c r="D7" s="26" t="s">
        <v>100</v>
      </c>
      <c r="E7" s="26">
        <f t="shared" si="0"/>
        <v>3</v>
      </c>
      <c r="G7" s="22"/>
      <c r="H7" s="22"/>
      <c r="I7" s="22"/>
      <c r="J7" s="22"/>
      <c r="K7" s="29" t="s">
        <v>109</v>
      </c>
      <c r="L7" s="30" t="s">
        <v>110</v>
      </c>
      <c r="M7" s="31" t="s">
        <v>111</v>
      </c>
      <c r="N7" s="22"/>
    </row>
    <row r="8" spans="1:14" ht="43.5" customHeight="1" x14ac:dyDescent="0.2">
      <c r="A8" s="26">
        <v>4</v>
      </c>
      <c r="B8" s="32" t="s">
        <v>98</v>
      </c>
      <c r="C8" s="28" t="s">
        <v>112</v>
      </c>
      <c r="D8" s="26" t="s">
        <v>100</v>
      </c>
      <c r="E8" s="26">
        <f t="shared" si="0"/>
        <v>3</v>
      </c>
      <c r="G8" s="22"/>
      <c r="H8" s="22"/>
      <c r="I8" s="22"/>
      <c r="J8" s="22"/>
      <c r="K8" s="33" t="s">
        <v>100</v>
      </c>
      <c r="L8" s="34" t="s">
        <v>113</v>
      </c>
      <c r="M8" s="35" t="s">
        <v>114</v>
      </c>
      <c r="N8" s="22"/>
    </row>
    <row r="9" spans="1:14" ht="43.5" customHeight="1" x14ac:dyDescent="0.2">
      <c r="A9" s="26">
        <v>5</v>
      </c>
      <c r="B9" s="32" t="s">
        <v>98</v>
      </c>
      <c r="C9" s="28" t="s">
        <v>115</v>
      </c>
      <c r="D9" s="26" t="s">
        <v>100</v>
      </c>
      <c r="E9" s="26">
        <f t="shared" si="0"/>
        <v>3</v>
      </c>
      <c r="G9" s="22"/>
      <c r="H9" s="22"/>
      <c r="I9" s="22"/>
      <c r="J9" s="22"/>
      <c r="K9" s="29" t="s">
        <v>116</v>
      </c>
      <c r="L9" s="30" t="s">
        <v>117</v>
      </c>
      <c r="M9" s="31" t="s">
        <v>118</v>
      </c>
      <c r="N9" s="22"/>
    </row>
    <row r="10" spans="1:14" ht="43.5" customHeight="1" x14ac:dyDescent="0.2">
      <c r="A10" s="36">
        <v>6</v>
      </c>
      <c r="B10" s="37" t="s">
        <v>119</v>
      </c>
      <c r="C10" s="38" t="s">
        <v>120</v>
      </c>
      <c r="D10" s="36" t="s">
        <v>100</v>
      </c>
      <c r="E10" s="36">
        <f t="shared" si="0"/>
        <v>3</v>
      </c>
      <c r="G10" s="22"/>
      <c r="H10" s="22"/>
      <c r="I10" s="22"/>
      <c r="J10" s="22"/>
      <c r="K10" s="33" t="s">
        <v>121</v>
      </c>
      <c r="L10" s="34" t="s">
        <v>122</v>
      </c>
      <c r="M10" s="35" t="s">
        <v>123</v>
      </c>
      <c r="N10" s="22"/>
    </row>
    <row r="11" spans="1:14" ht="31.5" customHeight="1" x14ac:dyDescent="0.2">
      <c r="A11" s="36">
        <v>7</v>
      </c>
      <c r="B11" s="39" t="s">
        <v>119</v>
      </c>
      <c r="C11" s="38" t="s">
        <v>124</v>
      </c>
      <c r="D11" s="36" t="s">
        <v>100</v>
      </c>
      <c r="E11" s="36">
        <f t="shared" si="0"/>
        <v>3</v>
      </c>
      <c r="G11" s="22"/>
      <c r="H11" s="22"/>
      <c r="I11" s="22"/>
      <c r="J11" s="22"/>
      <c r="K11" s="22"/>
      <c r="L11" s="22"/>
      <c r="M11" s="22"/>
      <c r="N11" s="22"/>
    </row>
    <row r="12" spans="1:14" ht="31.5" customHeight="1" x14ac:dyDescent="0.2">
      <c r="A12" s="36">
        <v>8</v>
      </c>
      <c r="B12" s="39" t="s">
        <v>119</v>
      </c>
      <c r="C12" s="38" t="s">
        <v>125</v>
      </c>
      <c r="D12" s="36" t="s">
        <v>100</v>
      </c>
      <c r="E12" s="36">
        <f t="shared" si="0"/>
        <v>3</v>
      </c>
      <c r="G12" s="22"/>
      <c r="H12" s="22"/>
      <c r="I12" s="22"/>
      <c r="J12" s="22"/>
      <c r="K12" s="22"/>
      <c r="L12" s="22"/>
      <c r="M12" s="22"/>
      <c r="N12" s="22"/>
    </row>
    <row r="13" spans="1:14" ht="31.5" customHeight="1" x14ac:dyDescent="0.2">
      <c r="A13" s="36">
        <v>9</v>
      </c>
      <c r="B13" s="39" t="s">
        <v>119</v>
      </c>
      <c r="C13" s="38" t="s">
        <v>126</v>
      </c>
      <c r="D13" s="36" t="s">
        <v>100</v>
      </c>
      <c r="E13" s="36">
        <f t="shared" si="0"/>
        <v>3</v>
      </c>
      <c r="G13" s="22"/>
      <c r="H13" s="22"/>
      <c r="I13" s="22"/>
      <c r="J13" s="22"/>
      <c r="K13" s="22"/>
      <c r="L13" s="22"/>
      <c r="M13" s="22"/>
      <c r="N13" s="22"/>
    </row>
    <row r="14" spans="1:14" ht="31.5" customHeight="1" x14ac:dyDescent="0.2">
      <c r="A14" s="36">
        <v>10</v>
      </c>
      <c r="B14" s="39" t="s">
        <v>119</v>
      </c>
      <c r="C14" s="38" t="s">
        <v>127</v>
      </c>
      <c r="D14" s="36" t="s">
        <v>100</v>
      </c>
      <c r="E14" s="36">
        <f t="shared" si="0"/>
        <v>3</v>
      </c>
      <c r="G14" s="22"/>
      <c r="H14" s="22"/>
      <c r="I14" s="22"/>
      <c r="J14" s="22"/>
      <c r="K14" s="22"/>
      <c r="L14" s="22"/>
      <c r="M14" s="22"/>
      <c r="N14" s="22"/>
    </row>
    <row r="15" spans="1:14" ht="31.5" customHeight="1" x14ac:dyDescent="0.2">
      <c r="A15" s="36">
        <v>11</v>
      </c>
      <c r="B15" s="39" t="s">
        <v>119</v>
      </c>
      <c r="C15" s="38" t="s">
        <v>128</v>
      </c>
      <c r="D15" s="36" t="s">
        <v>100</v>
      </c>
      <c r="E15" s="36">
        <f t="shared" si="0"/>
        <v>3</v>
      </c>
      <c r="G15" s="22"/>
      <c r="H15" s="22"/>
      <c r="I15" s="22"/>
      <c r="J15" s="22"/>
      <c r="K15" s="22"/>
      <c r="L15" s="22"/>
      <c r="M15" s="22"/>
      <c r="N15" s="22"/>
    </row>
    <row r="16" spans="1:14" ht="31.5" customHeight="1" x14ac:dyDescent="0.2">
      <c r="A16" s="36">
        <v>12</v>
      </c>
      <c r="B16" s="39" t="s">
        <v>119</v>
      </c>
      <c r="C16" s="38" t="s">
        <v>129</v>
      </c>
      <c r="D16" s="36" t="s">
        <v>100</v>
      </c>
      <c r="E16" s="36">
        <f t="shared" si="0"/>
        <v>3</v>
      </c>
      <c r="G16" s="22"/>
      <c r="H16" s="22"/>
      <c r="I16" s="22"/>
      <c r="J16" s="22"/>
      <c r="K16" s="22"/>
      <c r="L16" s="22"/>
      <c r="M16" s="22"/>
      <c r="N16" s="22"/>
    </row>
    <row r="17" spans="1:14" ht="31.5" customHeight="1" x14ac:dyDescent="0.2">
      <c r="A17" s="26">
        <v>13</v>
      </c>
      <c r="B17" s="27" t="s">
        <v>130</v>
      </c>
      <c r="C17" s="28" t="s">
        <v>131</v>
      </c>
      <c r="D17" s="26" t="s">
        <v>100</v>
      </c>
      <c r="E17" s="26">
        <f t="shared" si="0"/>
        <v>3</v>
      </c>
      <c r="G17" s="22"/>
      <c r="H17" s="22"/>
      <c r="I17" s="22"/>
      <c r="J17" s="22"/>
      <c r="K17" s="22"/>
      <c r="L17" s="22"/>
      <c r="M17" s="22"/>
      <c r="N17" s="22"/>
    </row>
    <row r="18" spans="1:14" ht="31.5" customHeight="1" x14ac:dyDescent="0.2">
      <c r="A18" s="26">
        <v>14</v>
      </c>
      <c r="B18" s="32" t="s">
        <v>130</v>
      </c>
      <c r="C18" s="28" t="s">
        <v>132</v>
      </c>
      <c r="D18" s="26" t="s">
        <v>100</v>
      </c>
      <c r="E18" s="26">
        <f t="shared" si="0"/>
        <v>3</v>
      </c>
      <c r="G18" s="22"/>
      <c r="H18" s="22"/>
      <c r="I18" s="22"/>
      <c r="J18" s="22"/>
      <c r="K18" s="22"/>
      <c r="L18" s="22"/>
      <c r="M18" s="22"/>
      <c r="N18" s="22"/>
    </row>
    <row r="19" spans="1:14" ht="31.5" customHeight="1" x14ac:dyDescent="0.2">
      <c r="A19" s="26">
        <v>15</v>
      </c>
      <c r="B19" s="32" t="s">
        <v>130</v>
      </c>
      <c r="C19" s="28" t="s">
        <v>133</v>
      </c>
      <c r="D19" s="26" t="s">
        <v>100</v>
      </c>
      <c r="E19" s="26">
        <f t="shared" si="0"/>
        <v>3</v>
      </c>
      <c r="G19" s="22"/>
      <c r="H19" s="22"/>
      <c r="I19" s="22"/>
      <c r="J19" s="22"/>
      <c r="K19" s="22"/>
      <c r="L19" s="22"/>
      <c r="M19" s="22"/>
      <c r="N19" s="22"/>
    </row>
    <row r="20" spans="1:14" ht="31.5" customHeight="1" x14ac:dyDescent="0.2">
      <c r="A20" s="26">
        <v>16</v>
      </c>
      <c r="B20" s="32" t="s">
        <v>130</v>
      </c>
      <c r="C20" s="28" t="s">
        <v>134</v>
      </c>
      <c r="D20" s="26" t="s">
        <v>100</v>
      </c>
      <c r="E20" s="26">
        <f t="shared" si="0"/>
        <v>3</v>
      </c>
      <c r="G20" s="22"/>
      <c r="H20" s="22"/>
      <c r="I20" s="22"/>
      <c r="J20" s="22"/>
      <c r="K20" s="22"/>
      <c r="L20" s="22"/>
      <c r="M20" s="22"/>
      <c r="N20" s="22"/>
    </row>
    <row r="21" spans="1:14" ht="31.5" customHeight="1" x14ac:dyDescent="0.2">
      <c r="A21" s="26">
        <v>17</v>
      </c>
      <c r="B21" s="32" t="s">
        <v>130</v>
      </c>
      <c r="C21" s="28" t="s">
        <v>135</v>
      </c>
      <c r="D21" s="26" t="s">
        <v>100</v>
      </c>
      <c r="E21" s="26">
        <f t="shared" si="0"/>
        <v>3</v>
      </c>
      <c r="G21" s="22"/>
      <c r="H21" s="22"/>
      <c r="I21" s="22"/>
      <c r="J21" s="22"/>
      <c r="K21" s="22"/>
      <c r="L21" s="22"/>
      <c r="M21" s="22"/>
      <c r="N21" s="22"/>
    </row>
    <row r="22" spans="1:14" ht="31.5" customHeight="1" x14ac:dyDescent="0.2">
      <c r="A22" s="26">
        <v>18</v>
      </c>
      <c r="B22" s="32" t="s">
        <v>130</v>
      </c>
      <c r="C22" s="28" t="s">
        <v>136</v>
      </c>
      <c r="D22" s="26" t="s">
        <v>100</v>
      </c>
      <c r="E22" s="26">
        <f t="shared" si="0"/>
        <v>3</v>
      </c>
      <c r="G22" s="22"/>
      <c r="H22" s="22"/>
      <c r="I22" s="22"/>
      <c r="J22" s="22"/>
      <c r="K22" s="22"/>
      <c r="L22" s="22"/>
      <c r="M22" s="22"/>
      <c r="N22" s="22"/>
    </row>
    <row r="23" spans="1:14" ht="31.5" customHeight="1" x14ac:dyDescent="0.2">
      <c r="A23" s="26">
        <v>19</v>
      </c>
      <c r="B23" s="32" t="s">
        <v>130</v>
      </c>
      <c r="C23" s="28" t="s">
        <v>137</v>
      </c>
      <c r="D23" s="26" t="s">
        <v>100</v>
      </c>
      <c r="E23" s="26">
        <f t="shared" si="0"/>
        <v>3</v>
      </c>
      <c r="G23" s="22"/>
      <c r="H23" s="22"/>
      <c r="I23" s="22"/>
      <c r="J23" s="22"/>
      <c r="K23" s="22"/>
      <c r="L23" s="22"/>
      <c r="M23" s="22"/>
      <c r="N23" s="22"/>
    </row>
    <row r="24" spans="1:14" ht="31.5" customHeight="1" x14ac:dyDescent="0.2">
      <c r="A24" s="26">
        <v>20</v>
      </c>
      <c r="B24" s="32" t="s">
        <v>130</v>
      </c>
      <c r="C24" s="28" t="s">
        <v>138</v>
      </c>
      <c r="D24" s="26" t="s">
        <v>100</v>
      </c>
      <c r="E24" s="26">
        <f t="shared" si="0"/>
        <v>3</v>
      </c>
      <c r="G24" s="22"/>
      <c r="H24" s="22"/>
      <c r="I24" s="22"/>
      <c r="J24" s="22"/>
      <c r="K24" s="22"/>
      <c r="L24" s="22"/>
      <c r="M24" s="22"/>
      <c r="N24" s="22"/>
    </row>
    <row r="25" spans="1:14" ht="31.5" customHeight="1" x14ac:dyDescent="0.2">
      <c r="A25" s="26">
        <v>21</v>
      </c>
      <c r="B25" s="32" t="s">
        <v>130</v>
      </c>
      <c r="C25" s="28" t="s">
        <v>139</v>
      </c>
      <c r="D25" s="26" t="s">
        <v>100</v>
      </c>
      <c r="E25" s="26">
        <f t="shared" si="0"/>
        <v>3</v>
      </c>
      <c r="G25" s="22"/>
      <c r="H25" s="22"/>
      <c r="I25" s="22"/>
      <c r="J25" s="22"/>
      <c r="K25" s="22"/>
      <c r="L25" s="22"/>
      <c r="M25" s="22"/>
      <c r="N25" s="22"/>
    </row>
    <row r="26" spans="1:14" ht="31.5" customHeight="1" x14ac:dyDescent="0.2">
      <c r="A26" s="26">
        <v>22</v>
      </c>
      <c r="B26" s="32" t="s">
        <v>130</v>
      </c>
      <c r="C26" s="28" t="s">
        <v>140</v>
      </c>
      <c r="D26" s="26" t="s">
        <v>100</v>
      </c>
      <c r="E26" s="26">
        <f t="shared" si="0"/>
        <v>3</v>
      </c>
      <c r="G26" s="22"/>
      <c r="H26" s="22"/>
      <c r="I26" s="22"/>
      <c r="J26" s="22"/>
      <c r="K26" s="22"/>
      <c r="L26" s="22"/>
      <c r="M26" s="22"/>
      <c r="N26" s="22"/>
    </row>
    <row r="27" spans="1:14" ht="31.5" customHeight="1" x14ac:dyDescent="0.2">
      <c r="A27" s="26">
        <v>23</v>
      </c>
      <c r="B27" s="32" t="s">
        <v>130</v>
      </c>
      <c r="C27" s="28" t="s">
        <v>141</v>
      </c>
      <c r="D27" s="26" t="s">
        <v>100</v>
      </c>
      <c r="E27" s="26">
        <f t="shared" si="0"/>
        <v>3</v>
      </c>
      <c r="G27" s="22"/>
      <c r="H27" s="22"/>
      <c r="I27" s="22"/>
      <c r="J27" s="22"/>
      <c r="K27" s="22"/>
      <c r="L27" s="22"/>
      <c r="M27" s="22"/>
      <c r="N27" s="22"/>
    </row>
    <row r="28" spans="1:14" ht="31.5" customHeight="1" x14ac:dyDescent="0.2">
      <c r="A28" s="36">
        <v>24</v>
      </c>
      <c r="B28" s="37" t="s">
        <v>142</v>
      </c>
      <c r="C28" s="38" t="s">
        <v>143</v>
      </c>
      <c r="D28" s="36" t="s">
        <v>100</v>
      </c>
      <c r="E28" s="36">
        <f t="shared" si="0"/>
        <v>3</v>
      </c>
      <c r="G28" s="22"/>
      <c r="H28" s="22"/>
      <c r="I28" s="22"/>
      <c r="J28" s="22"/>
      <c r="K28" s="22"/>
      <c r="L28" s="22"/>
      <c r="M28" s="22"/>
      <c r="N28" s="22"/>
    </row>
    <row r="29" spans="1:14" ht="31.5" customHeight="1" x14ac:dyDescent="0.2">
      <c r="A29" s="36">
        <v>25</v>
      </c>
      <c r="B29" s="39" t="s">
        <v>142</v>
      </c>
      <c r="C29" s="38" t="s">
        <v>144</v>
      </c>
      <c r="D29" s="36" t="s">
        <v>100</v>
      </c>
      <c r="E29" s="36">
        <f t="shared" si="0"/>
        <v>3</v>
      </c>
      <c r="G29" s="22"/>
      <c r="H29" s="22"/>
      <c r="I29" s="22"/>
      <c r="J29" s="22"/>
      <c r="K29" s="22"/>
      <c r="L29" s="22"/>
      <c r="M29" s="22"/>
      <c r="N29" s="22"/>
    </row>
    <row r="30" spans="1:14" ht="31.5" customHeight="1" x14ac:dyDescent="0.2">
      <c r="A30" s="36">
        <v>26</v>
      </c>
      <c r="B30" s="39" t="s">
        <v>142</v>
      </c>
      <c r="C30" s="38" t="s">
        <v>145</v>
      </c>
      <c r="D30" s="36" t="s">
        <v>100</v>
      </c>
      <c r="E30" s="36">
        <f t="shared" si="0"/>
        <v>3</v>
      </c>
      <c r="G30" s="22"/>
      <c r="H30" s="22"/>
      <c r="I30" s="22"/>
      <c r="J30" s="22"/>
      <c r="K30" s="22"/>
      <c r="L30" s="22"/>
      <c r="M30" s="22"/>
      <c r="N30" s="22"/>
    </row>
    <row r="31" spans="1:14" ht="31.5" customHeight="1" x14ac:dyDescent="0.2">
      <c r="A31" s="36">
        <v>27</v>
      </c>
      <c r="B31" s="39" t="s">
        <v>142</v>
      </c>
      <c r="C31" s="38" t="s">
        <v>146</v>
      </c>
      <c r="D31" s="36" t="s">
        <v>100</v>
      </c>
      <c r="E31" s="36">
        <f t="shared" si="0"/>
        <v>3</v>
      </c>
      <c r="G31" s="22"/>
      <c r="H31" s="22"/>
      <c r="I31" s="22"/>
      <c r="J31" s="22"/>
      <c r="K31" s="22"/>
      <c r="L31" s="22"/>
      <c r="M31" s="22"/>
      <c r="N31" s="22"/>
    </row>
    <row r="32" spans="1:14" ht="31.5" customHeight="1" x14ac:dyDescent="0.2">
      <c r="A32" s="36">
        <v>28</v>
      </c>
      <c r="B32" s="39" t="s">
        <v>142</v>
      </c>
      <c r="C32" s="38" t="s">
        <v>147</v>
      </c>
      <c r="D32" s="36" t="s">
        <v>100</v>
      </c>
      <c r="E32" s="36">
        <f t="shared" si="0"/>
        <v>3</v>
      </c>
      <c r="G32" s="22"/>
      <c r="H32" s="22"/>
      <c r="I32" s="22"/>
      <c r="J32" s="22"/>
      <c r="K32" s="22"/>
      <c r="L32" s="22"/>
      <c r="M32" s="22"/>
      <c r="N32" s="22"/>
    </row>
    <row r="33" spans="1:14" ht="31.5" customHeight="1" x14ac:dyDescent="0.2">
      <c r="A33" s="36">
        <v>29</v>
      </c>
      <c r="B33" s="39" t="s">
        <v>142</v>
      </c>
      <c r="C33" s="38" t="s">
        <v>148</v>
      </c>
      <c r="D33" s="36" t="s">
        <v>100</v>
      </c>
      <c r="E33" s="36">
        <f t="shared" si="0"/>
        <v>3</v>
      </c>
      <c r="G33" s="22"/>
      <c r="H33" s="22"/>
      <c r="I33" s="22"/>
      <c r="J33" s="22"/>
      <c r="K33" s="22"/>
      <c r="L33" s="22"/>
      <c r="M33" s="22"/>
      <c r="N33" s="22"/>
    </row>
    <row r="34" spans="1:14" ht="31.5" customHeight="1" x14ac:dyDescent="0.2">
      <c r="A34" s="36">
        <v>30</v>
      </c>
      <c r="B34" s="39" t="s">
        <v>142</v>
      </c>
      <c r="C34" s="38" t="s">
        <v>149</v>
      </c>
      <c r="D34" s="36" t="s">
        <v>100</v>
      </c>
      <c r="E34" s="36">
        <f t="shared" si="0"/>
        <v>3</v>
      </c>
      <c r="G34" s="22"/>
      <c r="H34" s="22"/>
      <c r="I34" s="22"/>
      <c r="J34" s="22"/>
      <c r="K34" s="22"/>
      <c r="L34" s="22"/>
      <c r="M34" s="22"/>
      <c r="N34" s="22"/>
    </row>
    <row r="35" spans="1:14" ht="31.5" customHeight="1" x14ac:dyDescent="0.2">
      <c r="A35" s="36">
        <v>31</v>
      </c>
      <c r="B35" s="39" t="s">
        <v>142</v>
      </c>
      <c r="C35" s="38" t="s">
        <v>150</v>
      </c>
      <c r="D35" s="36" t="s">
        <v>100</v>
      </c>
      <c r="E35" s="36">
        <f t="shared" si="0"/>
        <v>3</v>
      </c>
      <c r="G35" s="22"/>
      <c r="H35" s="22"/>
      <c r="I35" s="22"/>
      <c r="J35" s="22"/>
      <c r="K35" s="22"/>
      <c r="L35" s="22"/>
      <c r="M35" s="22"/>
      <c r="N35" s="22"/>
    </row>
    <row r="36" spans="1:14" ht="31.5" customHeight="1" x14ac:dyDescent="0.2">
      <c r="A36" s="26">
        <v>32</v>
      </c>
      <c r="B36" s="27" t="s">
        <v>151</v>
      </c>
      <c r="C36" s="28" t="s">
        <v>152</v>
      </c>
      <c r="D36" s="26" t="s">
        <v>100</v>
      </c>
      <c r="E36" s="26">
        <f t="shared" si="0"/>
        <v>3</v>
      </c>
      <c r="G36" s="22"/>
      <c r="H36" s="22"/>
      <c r="I36" s="22"/>
      <c r="J36" s="22"/>
      <c r="K36" s="22"/>
      <c r="L36" s="22"/>
      <c r="M36" s="22"/>
      <c r="N36" s="22"/>
    </row>
    <row r="37" spans="1:14" ht="31.5" customHeight="1" x14ac:dyDescent="0.2">
      <c r="A37" s="26">
        <v>33</v>
      </c>
      <c r="B37" s="32" t="s">
        <v>151</v>
      </c>
      <c r="C37" s="28" t="s">
        <v>153</v>
      </c>
      <c r="D37" s="26" t="s">
        <v>100</v>
      </c>
      <c r="E37" s="26">
        <f t="shared" ref="E37:E68" si="1">IF(D37="No / None",0,IF(D37="Ad hoc / Informal",1,IF(D37="Partial / Infrequent",2,IF(D37="Formal",3,IF(D37="Embedded",4,"")))))</f>
        <v>3</v>
      </c>
      <c r="G37" s="22"/>
      <c r="H37" s="22"/>
      <c r="I37" s="22"/>
      <c r="J37" s="22"/>
      <c r="K37" s="22"/>
      <c r="L37" s="22"/>
      <c r="M37" s="22"/>
      <c r="N37" s="22"/>
    </row>
    <row r="38" spans="1:14" ht="31.5" customHeight="1" x14ac:dyDescent="0.2">
      <c r="A38" s="26">
        <v>34</v>
      </c>
      <c r="B38" s="32" t="s">
        <v>151</v>
      </c>
      <c r="C38" s="28" t="s">
        <v>154</v>
      </c>
      <c r="D38" s="26" t="s">
        <v>100</v>
      </c>
      <c r="E38" s="26">
        <f t="shared" si="1"/>
        <v>3</v>
      </c>
      <c r="G38" s="22"/>
      <c r="H38" s="22"/>
      <c r="I38" s="22"/>
      <c r="J38" s="22"/>
      <c r="K38" s="22"/>
      <c r="L38" s="22"/>
      <c r="M38" s="22"/>
      <c r="N38" s="22"/>
    </row>
    <row r="39" spans="1:14" ht="31.5" customHeight="1" x14ac:dyDescent="0.2">
      <c r="A39" s="26">
        <v>35</v>
      </c>
      <c r="B39" s="32" t="s">
        <v>151</v>
      </c>
      <c r="C39" s="28" t="s">
        <v>155</v>
      </c>
      <c r="D39" s="26" t="s">
        <v>100</v>
      </c>
      <c r="E39" s="26">
        <f t="shared" si="1"/>
        <v>3</v>
      </c>
      <c r="G39" s="22"/>
      <c r="H39" s="22"/>
      <c r="I39" s="22"/>
      <c r="J39" s="22"/>
      <c r="K39" s="22"/>
      <c r="L39" s="22"/>
      <c r="M39" s="22"/>
      <c r="N39" s="22"/>
    </row>
    <row r="40" spans="1:14" ht="31.5" customHeight="1" x14ac:dyDescent="0.2">
      <c r="A40" s="26">
        <v>36</v>
      </c>
      <c r="B40" s="32" t="s">
        <v>151</v>
      </c>
      <c r="C40" s="28" t="s">
        <v>156</v>
      </c>
      <c r="D40" s="26" t="s">
        <v>100</v>
      </c>
      <c r="E40" s="26">
        <f t="shared" si="1"/>
        <v>3</v>
      </c>
      <c r="G40" s="22"/>
      <c r="H40" s="22"/>
      <c r="I40" s="22"/>
      <c r="J40" s="22"/>
      <c r="K40" s="22"/>
      <c r="L40" s="22"/>
      <c r="M40" s="22"/>
      <c r="N40" s="22"/>
    </row>
    <row r="41" spans="1:14" ht="31.5" customHeight="1" x14ac:dyDescent="0.2">
      <c r="A41" s="26">
        <v>37</v>
      </c>
      <c r="B41" s="32" t="s">
        <v>151</v>
      </c>
      <c r="C41" s="28" t="s">
        <v>157</v>
      </c>
      <c r="D41" s="26" t="s">
        <v>100</v>
      </c>
      <c r="E41" s="26">
        <f t="shared" si="1"/>
        <v>3</v>
      </c>
      <c r="G41" s="22"/>
      <c r="H41" s="22"/>
      <c r="I41" s="22"/>
      <c r="J41" s="22"/>
      <c r="K41" s="22"/>
      <c r="L41" s="22"/>
      <c r="M41" s="22"/>
      <c r="N41" s="22"/>
    </row>
    <row r="42" spans="1:14" ht="31.5" customHeight="1" x14ac:dyDescent="0.2">
      <c r="A42" s="36">
        <v>38</v>
      </c>
      <c r="B42" s="37" t="s">
        <v>158</v>
      </c>
      <c r="C42" s="38" t="s">
        <v>159</v>
      </c>
      <c r="D42" s="36" t="s">
        <v>100</v>
      </c>
      <c r="E42" s="36">
        <f t="shared" si="1"/>
        <v>3</v>
      </c>
      <c r="G42" s="22"/>
      <c r="H42" s="22"/>
      <c r="I42" s="22"/>
      <c r="J42" s="22"/>
      <c r="K42" s="22"/>
      <c r="L42" s="22"/>
      <c r="M42" s="22"/>
      <c r="N42" s="22"/>
    </row>
    <row r="43" spans="1:14" ht="31.5" customHeight="1" x14ac:dyDescent="0.2">
      <c r="A43" s="36">
        <v>39</v>
      </c>
      <c r="B43" s="39" t="s">
        <v>158</v>
      </c>
      <c r="C43" s="38" t="s">
        <v>160</v>
      </c>
      <c r="D43" s="36" t="s">
        <v>100</v>
      </c>
      <c r="E43" s="36">
        <f t="shared" si="1"/>
        <v>3</v>
      </c>
      <c r="G43" s="22"/>
      <c r="H43" s="22"/>
      <c r="I43" s="22"/>
      <c r="J43" s="22"/>
      <c r="K43" s="22"/>
      <c r="L43" s="22"/>
      <c r="M43" s="22"/>
      <c r="N43" s="22"/>
    </row>
    <row r="44" spans="1:14" ht="31.5" customHeight="1" x14ac:dyDescent="0.2">
      <c r="A44" s="36">
        <v>40</v>
      </c>
      <c r="B44" s="39" t="s">
        <v>158</v>
      </c>
      <c r="C44" s="38" t="s">
        <v>161</v>
      </c>
      <c r="D44" s="36" t="s">
        <v>100</v>
      </c>
      <c r="E44" s="36">
        <f t="shared" si="1"/>
        <v>3</v>
      </c>
      <c r="G44" s="22"/>
      <c r="H44" s="22"/>
      <c r="I44" s="22"/>
      <c r="J44" s="22"/>
      <c r="K44" s="22"/>
      <c r="L44" s="22"/>
      <c r="M44" s="22"/>
      <c r="N44" s="22"/>
    </row>
    <row r="45" spans="1:14" ht="31.5" customHeight="1" x14ac:dyDescent="0.2">
      <c r="A45" s="36">
        <v>41</v>
      </c>
      <c r="B45" s="39" t="s">
        <v>158</v>
      </c>
      <c r="C45" s="38" t="s">
        <v>162</v>
      </c>
      <c r="D45" s="36" t="s">
        <v>100</v>
      </c>
      <c r="E45" s="36">
        <f t="shared" si="1"/>
        <v>3</v>
      </c>
      <c r="G45" s="22"/>
      <c r="H45" s="22"/>
      <c r="I45" s="22"/>
      <c r="J45" s="22"/>
      <c r="K45" s="22"/>
      <c r="L45" s="22"/>
      <c r="M45" s="22"/>
      <c r="N45" s="22"/>
    </row>
    <row r="46" spans="1:14" ht="31.5" customHeight="1" x14ac:dyDescent="0.2">
      <c r="A46" s="36">
        <v>42</v>
      </c>
      <c r="B46" s="39" t="s">
        <v>158</v>
      </c>
      <c r="C46" s="38" t="s">
        <v>163</v>
      </c>
      <c r="D46" s="36" t="s">
        <v>100</v>
      </c>
      <c r="E46" s="36">
        <f t="shared" si="1"/>
        <v>3</v>
      </c>
      <c r="G46" s="22"/>
      <c r="H46" s="22"/>
      <c r="I46" s="22"/>
      <c r="J46" s="22"/>
      <c r="K46" s="22"/>
      <c r="L46" s="22"/>
      <c r="M46" s="22"/>
      <c r="N46" s="22"/>
    </row>
    <row r="47" spans="1:14" ht="31.5" customHeight="1" x14ac:dyDescent="0.2">
      <c r="A47" s="36">
        <v>43</v>
      </c>
      <c r="B47" s="39" t="s">
        <v>158</v>
      </c>
      <c r="C47" s="38" t="s">
        <v>164</v>
      </c>
      <c r="D47" s="36" t="s">
        <v>100</v>
      </c>
      <c r="E47" s="36">
        <f t="shared" si="1"/>
        <v>3</v>
      </c>
      <c r="G47" s="22"/>
      <c r="H47" s="22"/>
      <c r="I47" s="22"/>
      <c r="J47" s="22"/>
      <c r="K47" s="22"/>
      <c r="L47" s="22"/>
      <c r="M47" s="22"/>
      <c r="N47" s="22"/>
    </row>
    <row r="48" spans="1:14" ht="31.5" customHeight="1" x14ac:dyDescent="0.2">
      <c r="A48" s="36">
        <v>44</v>
      </c>
      <c r="B48" s="39" t="s">
        <v>158</v>
      </c>
      <c r="C48" s="38" t="s">
        <v>165</v>
      </c>
      <c r="D48" s="36" t="s">
        <v>100</v>
      </c>
      <c r="E48" s="36">
        <f t="shared" si="1"/>
        <v>3</v>
      </c>
      <c r="G48" s="22"/>
      <c r="H48" s="22"/>
      <c r="I48" s="22"/>
      <c r="J48" s="22"/>
      <c r="K48" s="22"/>
      <c r="L48" s="22"/>
      <c r="M48" s="22"/>
      <c r="N48" s="22"/>
    </row>
    <row r="49" spans="1:14" ht="31.5" customHeight="1" x14ac:dyDescent="0.2">
      <c r="A49" s="26">
        <v>45</v>
      </c>
      <c r="B49" s="27" t="s">
        <v>166</v>
      </c>
      <c r="C49" s="28" t="s">
        <v>167</v>
      </c>
      <c r="D49" s="26" t="s">
        <v>100</v>
      </c>
      <c r="E49" s="26">
        <f t="shared" si="1"/>
        <v>3</v>
      </c>
      <c r="G49" s="22"/>
      <c r="H49" s="22"/>
      <c r="I49" s="22"/>
      <c r="J49" s="22"/>
      <c r="K49" s="22"/>
      <c r="L49" s="22"/>
      <c r="M49" s="22"/>
      <c r="N49" s="22"/>
    </row>
    <row r="50" spans="1:14" ht="31.5" customHeight="1" x14ac:dyDescent="0.2">
      <c r="A50" s="26">
        <v>46</v>
      </c>
      <c r="B50" s="32" t="s">
        <v>166</v>
      </c>
      <c r="C50" s="28" t="s">
        <v>168</v>
      </c>
      <c r="D50" s="26" t="s">
        <v>100</v>
      </c>
      <c r="E50" s="26">
        <f t="shared" si="1"/>
        <v>3</v>
      </c>
      <c r="G50" s="22"/>
      <c r="H50" s="22"/>
      <c r="I50" s="22"/>
      <c r="J50" s="22"/>
      <c r="K50" s="22"/>
      <c r="L50" s="22"/>
      <c r="M50" s="22"/>
      <c r="N50" s="22"/>
    </row>
    <row r="51" spans="1:14" ht="31.5" customHeight="1" x14ac:dyDescent="0.2">
      <c r="A51" s="26">
        <v>47</v>
      </c>
      <c r="B51" s="32" t="s">
        <v>166</v>
      </c>
      <c r="C51" s="28" t="s">
        <v>169</v>
      </c>
      <c r="D51" s="26" t="s">
        <v>100</v>
      </c>
      <c r="E51" s="26">
        <f t="shared" si="1"/>
        <v>3</v>
      </c>
      <c r="G51" s="22"/>
      <c r="H51" s="22"/>
      <c r="I51" s="22"/>
      <c r="J51" s="22"/>
      <c r="K51" s="22"/>
      <c r="L51" s="22"/>
      <c r="M51" s="22"/>
      <c r="N51" s="22"/>
    </row>
    <row r="52" spans="1:14" ht="31.5" customHeight="1" x14ac:dyDescent="0.2">
      <c r="A52" s="26">
        <v>48</v>
      </c>
      <c r="B52" s="32" t="s">
        <v>166</v>
      </c>
      <c r="C52" s="28" t="s">
        <v>170</v>
      </c>
      <c r="D52" s="26" t="s">
        <v>100</v>
      </c>
      <c r="E52" s="26">
        <f t="shared" si="1"/>
        <v>3</v>
      </c>
      <c r="G52" s="22"/>
      <c r="H52" s="22"/>
      <c r="I52" s="22"/>
      <c r="J52" s="22"/>
      <c r="K52" s="22"/>
      <c r="L52" s="22"/>
      <c r="M52" s="22"/>
      <c r="N52" s="22"/>
    </row>
    <row r="53" spans="1:14" ht="31.5" customHeight="1" x14ac:dyDescent="0.2">
      <c r="A53" s="26">
        <v>49</v>
      </c>
      <c r="B53" s="32" t="s">
        <v>166</v>
      </c>
      <c r="C53" s="28" t="s">
        <v>171</v>
      </c>
      <c r="D53" s="26" t="s">
        <v>100</v>
      </c>
      <c r="E53" s="26">
        <f t="shared" si="1"/>
        <v>3</v>
      </c>
      <c r="G53" s="22"/>
      <c r="H53" s="22"/>
      <c r="I53" s="22"/>
      <c r="J53" s="22"/>
      <c r="K53" s="22"/>
      <c r="L53" s="22"/>
      <c r="M53" s="22"/>
      <c r="N53" s="22"/>
    </row>
    <row r="54" spans="1:14" ht="31.5" customHeight="1" x14ac:dyDescent="0.2">
      <c r="A54" s="26">
        <v>50</v>
      </c>
      <c r="B54" s="32" t="s">
        <v>166</v>
      </c>
      <c r="C54" s="28" t="s">
        <v>172</v>
      </c>
      <c r="D54" s="26" t="s">
        <v>100</v>
      </c>
      <c r="E54" s="26">
        <f t="shared" si="1"/>
        <v>3</v>
      </c>
      <c r="G54" s="22"/>
      <c r="H54" s="22"/>
      <c r="I54" s="22"/>
      <c r="J54" s="22"/>
      <c r="K54" s="22"/>
      <c r="L54" s="22"/>
      <c r="M54" s="22"/>
      <c r="N54" s="22"/>
    </row>
    <row r="55" spans="1:14" ht="31.5" customHeight="1" x14ac:dyDescent="0.2">
      <c r="A55" s="36">
        <v>51</v>
      </c>
      <c r="B55" s="37" t="s">
        <v>173</v>
      </c>
      <c r="C55" s="38" t="s">
        <v>174</v>
      </c>
      <c r="D55" s="36" t="s">
        <v>100</v>
      </c>
      <c r="E55" s="36">
        <f t="shared" si="1"/>
        <v>3</v>
      </c>
      <c r="G55" s="22"/>
      <c r="H55" s="22"/>
      <c r="I55" s="22"/>
      <c r="J55" s="22"/>
      <c r="K55" s="22"/>
      <c r="L55" s="22"/>
      <c r="M55" s="22"/>
      <c r="N55" s="22"/>
    </row>
    <row r="56" spans="1:14" ht="31.5" customHeight="1" x14ac:dyDescent="0.2">
      <c r="A56" s="36">
        <v>52</v>
      </c>
      <c r="B56" s="39" t="s">
        <v>173</v>
      </c>
      <c r="C56" s="38" t="s">
        <v>175</v>
      </c>
      <c r="D56" s="36" t="s">
        <v>100</v>
      </c>
      <c r="E56" s="36">
        <f t="shared" si="1"/>
        <v>3</v>
      </c>
      <c r="G56" s="22"/>
      <c r="H56" s="22"/>
      <c r="I56" s="22"/>
      <c r="J56" s="22"/>
      <c r="K56" s="22"/>
      <c r="L56" s="22"/>
      <c r="M56" s="22"/>
      <c r="N56" s="22"/>
    </row>
    <row r="57" spans="1:14" ht="31.5" customHeight="1" x14ac:dyDescent="0.2">
      <c r="A57" s="36">
        <v>53</v>
      </c>
      <c r="B57" s="39" t="s">
        <v>173</v>
      </c>
      <c r="C57" s="38" t="s">
        <v>176</v>
      </c>
      <c r="D57" s="36" t="s">
        <v>100</v>
      </c>
      <c r="E57" s="36">
        <f t="shared" si="1"/>
        <v>3</v>
      </c>
      <c r="G57" s="22"/>
      <c r="H57" s="22"/>
      <c r="I57" s="22"/>
      <c r="J57" s="22"/>
      <c r="K57" s="22"/>
      <c r="L57" s="22"/>
      <c r="M57" s="22"/>
      <c r="N57" s="22"/>
    </row>
    <row r="58" spans="1:14" ht="31.5" customHeight="1" x14ac:dyDescent="0.2">
      <c r="A58" s="36">
        <v>54</v>
      </c>
      <c r="B58" s="39" t="s">
        <v>173</v>
      </c>
      <c r="C58" s="38" t="s">
        <v>177</v>
      </c>
      <c r="D58" s="36" t="s">
        <v>100</v>
      </c>
      <c r="E58" s="36">
        <f t="shared" si="1"/>
        <v>3</v>
      </c>
      <c r="G58" s="22"/>
      <c r="H58" s="22"/>
      <c r="I58" s="22"/>
      <c r="J58" s="22"/>
      <c r="K58" s="22"/>
      <c r="L58" s="22"/>
      <c r="M58" s="22"/>
      <c r="N58" s="22"/>
    </row>
    <row r="59" spans="1:14" ht="31.5" customHeight="1" x14ac:dyDescent="0.2">
      <c r="A59" s="36">
        <v>55</v>
      </c>
      <c r="B59" s="39" t="s">
        <v>173</v>
      </c>
      <c r="C59" s="38" t="s">
        <v>178</v>
      </c>
      <c r="D59" s="36" t="s">
        <v>100</v>
      </c>
      <c r="E59" s="36">
        <f t="shared" si="1"/>
        <v>3</v>
      </c>
      <c r="G59" s="22"/>
      <c r="H59" s="22"/>
      <c r="I59" s="22"/>
      <c r="J59" s="22"/>
      <c r="K59" s="22"/>
      <c r="L59" s="22"/>
      <c r="M59" s="22"/>
      <c r="N59" s="22"/>
    </row>
    <row r="60" spans="1:14" x14ac:dyDescent="0.2">
      <c r="G60" s="22"/>
      <c r="H60" s="22"/>
      <c r="I60" s="22"/>
      <c r="J60" s="22"/>
      <c r="K60" s="22"/>
      <c r="L60" s="22"/>
      <c r="M60" s="22"/>
      <c r="N60" s="22"/>
    </row>
    <row r="61" spans="1:14" x14ac:dyDescent="0.2">
      <c r="G61" s="22"/>
      <c r="H61" s="22"/>
      <c r="I61" s="22"/>
      <c r="J61" s="22"/>
      <c r="K61" s="22"/>
      <c r="L61" s="22"/>
      <c r="M61" s="22"/>
      <c r="N61" s="22"/>
    </row>
    <row r="62" spans="1:14" x14ac:dyDescent="0.2">
      <c r="G62" s="22"/>
      <c r="H62" s="22"/>
      <c r="I62" s="22"/>
      <c r="J62" s="22"/>
      <c r="K62" s="22"/>
      <c r="L62" s="22"/>
      <c r="M62" s="22"/>
      <c r="N62" s="22"/>
    </row>
    <row r="63" spans="1:14" x14ac:dyDescent="0.2">
      <c r="G63" s="22"/>
      <c r="H63" s="22"/>
      <c r="I63" s="22"/>
      <c r="J63" s="22"/>
      <c r="K63" s="22"/>
      <c r="L63" s="22"/>
      <c r="M63" s="22"/>
      <c r="N63" s="22"/>
    </row>
    <row r="64" spans="1:14" x14ac:dyDescent="0.2">
      <c r="G64" s="22"/>
      <c r="H64" s="22"/>
      <c r="I64" s="22"/>
      <c r="J64" s="22"/>
      <c r="K64" s="22"/>
      <c r="L64" s="22"/>
      <c r="M64" s="22"/>
      <c r="N64" s="22"/>
    </row>
  </sheetData>
  <dataValidations count="1">
    <dataValidation type="list" sqref="D5:D59" xr:uid="{00000000-0002-0000-0100-000000000000}">
      <formula1>"No / None,Ad hoc / Informal,Partial / Infrequent,Formal,Embedded,N/A"</formula1>
      <formula2>0</formula2>
    </dataValidation>
  </dataValidation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B6CB0"/>
  </sheetPr>
  <dimension ref="A1:H27"/>
  <sheetViews>
    <sheetView showGridLines="0" zoomScaleNormal="100" workbookViewId="0">
      <pane ySplit="5" topLeftCell="A6" activePane="bottomLeft" state="frozen"/>
      <selection pane="bottomLeft" activeCell="A7" sqref="A7"/>
    </sheetView>
  </sheetViews>
  <sheetFormatPr baseColWidth="10" defaultColWidth="8.83203125" defaultRowHeight="15" x14ac:dyDescent="0.2"/>
  <cols>
    <col min="1" max="5" width="20" style="1" customWidth="1"/>
    <col min="6" max="6" width="16" style="1" hidden="1" customWidth="1"/>
    <col min="7" max="16384" width="8.83203125" style="1"/>
  </cols>
  <sheetData>
    <row r="1" spans="1:8" ht="36" customHeight="1" x14ac:dyDescent="0.2">
      <c r="A1" s="3" t="s">
        <v>179</v>
      </c>
      <c r="B1" s="4"/>
      <c r="C1" s="4"/>
      <c r="D1" s="4"/>
      <c r="E1" s="4"/>
      <c r="F1" s="4"/>
      <c r="G1" s="4"/>
      <c r="H1" s="4"/>
    </row>
    <row r="2" spans="1:8" ht="21.75" customHeight="1" x14ac:dyDescent="0.2">
      <c r="A2" s="6" t="s">
        <v>180</v>
      </c>
      <c r="B2" s="40"/>
      <c r="C2" s="40"/>
      <c r="D2" s="8"/>
      <c r="E2" s="8"/>
      <c r="F2" s="41"/>
      <c r="G2" s="41"/>
      <c r="H2" s="8"/>
    </row>
    <row r="3" spans="1:8" ht="14.25" customHeight="1" x14ac:dyDescent="0.2">
      <c r="A3" s="42" t="s">
        <v>181</v>
      </c>
      <c r="B3" s="43"/>
      <c r="C3" s="43"/>
    </row>
    <row r="4" spans="1:8" ht="14.25" customHeight="1" x14ac:dyDescent="0.2">
      <c r="A4" s="43"/>
      <c r="B4" s="43"/>
      <c r="C4" s="43"/>
    </row>
    <row r="5" spans="1:8" ht="18" customHeight="1" x14ac:dyDescent="0.2">
      <c r="A5" s="23" t="s">
        <v>182</v>
      </c>
      <c r="B5" s="23" t="s">
        <v>183</v>
      </c>
      <c r="C5" s="23" t="s">
        <v>184</v>
      </c>
      <c r="D5" s="23" t="s">
        <v>185</v>
      </c>
      <c r="E5" s="23" t="s">
        <v>186</v>
      </c>
      <c r="F5" s="25" t="s">
        <v>187</v>
      </c>
      <c r="H5" s="11"/>
    </row>
    <row r="6" spans="1:8" x14ac:dyDescent="0.2">
      <c r="A6" s="44" t="s">
        <v>188</v>
      </c>
      <c r="B6" s="44" t="s">
        <v>189</v>
      </c>
      <c r="C6" s="44">
        <f t="shared" ref="C6:C15" si="0">IF(B6="Low",1,IF(B6="Moderate",1.2,IF(B6="Elevated",1.5,IF(B6="Severe",1.8,""))))</f>
        <v>1.8</v>
      </c>
      <c r="D6" s="45">
        <f>IF(C6="", "", 'Step4. Dashboard'!$B$11/C6)</f>
        <v>0.41666666666666663</v>
      </c>
      <c r="E6" s="44" t="str">
        <f t="shared" ref="E6:E27" si="1">IF(D6="","",IF(D6&lt;0.5,"Not sufficient",IF(D6&lt;0.7,"Needs strengthening","Suitable")))</f>
        <v>Not sufficient</v>
      </c>
      <c r="F6" s="46">
        <f>IF(B5="Low",0,IF(B6="Moderate",0.1,IF(B6="Elevated",0.2,IF(B6="Severe",0.3,""))))</f>
        <v>0.3</v>
      </c>
      <c r="G6" s="11"/>
    </row>
    <row r="7" spans="1:8" x14ac:dyDescent="0.2">
      <c r="A7" s="47"/>
      <c r="B7" s="47"/>
      <c r="C7" s="47" t="str">
        <f t="shared" si="0"/>
        <v/>
      </c>
      <c r="D7" s="48" t="str">
        <f>IF(C7="", "", 'Step4. Dashboard'!$B$11/C7)</f>
        <v/>
      </c>
      <c r="E7" s="47" t="str">
        <f t="shared" si="1"/>
        <v/>
      </c>
      <c r="F7" s="49" t="str">
        <f>IF(B6="Low",0,IF(B7="Moderate",0.1,IF(B7="Elevated",0.2,IF(B7="Severe",0.3,""))))</f>
        <v/>
      </c>
    </row>
    <row r="8" spans="1:8" x14ac:dyDescent="0.2">
      <c r="A8" s="44"/>
      <c r="B8" s="44"/>
      <c r="C8" s="44" t="str">
        <f t="shared" si="0"/>
        <v/>
      </c>
      <c r="D8" s="45" t="str">
        <f>IF(C8="", "", 'Step4. Dashboard'!$B$11/C8)</f>
        <v/>
      </c>
      <c r="E8" s="44" t="str">
        <f t="shared" si="1"/>
        <v/>
      </c>
      <c r="F8" s="46" t="str">
        <f>IF(B7="Low",0,IF(B8="Moderate",0.1,IF(B8="Elevated",0.2,IF(B8="Severe",0.3,""))))</f>
        <v/>
      </c>
      <c r="G8" s="11"/>
    </row>
    <row r="9" spans="1:8" x14ac:dyDescent="0.2">
      <c r="A9" s="49"/>
      <c r="B9" s="49"/>
      <c r="C9" s="49" t="str">
        <f t="shared" si="0"/>
        <v/>
      </c>
      <c r="D9" s="50" t="str">
        <f>IF(C9="", "", 'Step4. Dashboard'!$B$11/C9)</f>
        <v/>
      </c>
      <c r="E9" s="49" t="str">
        <f t="shared" si="1"/>
        <v/>
      </c>
      <c r="F9" s="49"/>
    </row>
    <row r="10" spans="1:8" x14ac:dyDescent="0.2">
      <c r="A10" s="46"/>
      <c r="B10" s="46"/>
      <c r="C10" s="46" t="str">
        <f t="shared" si="0"/>
        <v/>
      </c>
      <c r="D10" s="51" t="str">
        <f>IF(C10="", "", 'Step4. Dashboard'!$B$11/C10)</f>
        <v/>
      </c>
      <c r="E10" s="46" t="str">
        <f t="shared" si="1"/>
        <v/>
      </c>
      <c r="F10" s="46"/>
    </row>
    <row r="11" spans="1:8" x14ac:dyDescent="0.2">
      <c r="A11" s="49"/>
      <c r="B11" s="49"/>
      <c r="C11" s="49" t="str">
        <f t="shared" si="0"/>
        <v/>
      </c>
      <c r="D11" s="50" t="str">
        <f>IF(C11="", "", 'Step4. Dashboard'!$B$11/C11)</f>
        <v/>
      </c>
      <c r="E11" s="49" t="str">
        <f t="shared" si="1"/>
        <v/>
      </c>
      <c r="F11" s="49"/>
    </row>
    <row r="12" spans="1:8" x14ac:dyDescent="0.2">
      <c r="A12" s="46"/>
      <c r="B12" s="46"/>
      <c r="C12" s="46" t="str">
        <f t="shared" si="0"/>
        <v/>
      </c>
      <c r="D12" s="51" t="str">
        <f>IF(C12="", "", 'Step4. Dashboard'!$B$11/C12)</f>
        <v/>
      </c>
      <c r="E12" s="46" t="str">
        <f t="shared" si="1"/>
        <v/>
      </c>
      <c r="F12" s="46"/>
    </row>
    <row r="13" spans="1:8" x14ac:dyDescent="0.2">
      <c r="A13" s="49"/>
      <c r="B13" s="49"/>
      <c r="C13" s="49" t="str">
        <f t="shared" si="0"/>
        <v/>
      </c>
      <c r="D13" s="50" t="str">
        <f>IF(C13="", "", 'Step4. Dashboard'!$B$11/C13)</f>
        <v/>
      </c>
      <c r="E13" s="49" t="str">
        <f t="shared" si="1"/>
        <v/>
      </c>
      <c r="F13" s="49"/>
    </row>
    <row r="14" spans="1:8" x14ac:dyDescent="0.2">
      <c r="A14" s="46"/>
      <c r="B14" s="46"/>
      <c r="C14" s="46" t="str">
        <f t="shared" si="0"/>
        <v/>
      </c>
      <c r="D14" s="51" t="str">
        <f>IF(C14="", "", 'Step4. Dashboard'!$B$11/C14)</f>
        <v/>
      </c>
      <c r="E14" s="46" t="str">
        <f t="shared" si="1"/>
        <v/>
      </c>
      <c r="F14" s="46"/>
    </row>
    <row r="15" spans="1:8" x14ac:dyDescent="0.2">
      <c r="A15" s="49"/>
      <c r="B15" s="49"/>
      <c r="C15" s="49" t="str">
        <f t="shared" si="0"/>
        <v/>
      </c>
      <c r="D15" s="50" t="str">
        <f>IF(C15="", "", 'Step4. Dashboard'!$B$11/C15)</f>
        <v/>
      </c>
      <c r="E15" s="49" t="str">
        <f t="shared" si="1"/>
        <v/>
      </c>
      <c r="F15" s="49"/>
    </row>
    <row r="16" spans="1:8" x14ac:dyDescent="0.2">
      <c r="A16" s="46"/>
      <c r="B16" s="46"/>
      <c r="C16" s="46"/>
      <c r="D16" s="51" t="str">
        <f>IF(C16="", "", 'Step4. Dashboard'!$B$11/C16)</f>
        <v/>
      </c>
      <c r="E16" s="46" t="str">
        <f t="shared" si="1"/>
        <v/>
      </c>
      <c r="F16" s="46"/>
    </row>
    <row r="17" spans="1:6" x14ac:dyDescent="0.2">
      <c r="A17" s="49"/>
      <c r="B17" s="49"/>
      <c r="C17" s="49"/>
      <c r="D17" s="50" t="str">
        <f>IF(C17="", "", 'Step4. Dashboard'!$B$11/C17)</f>
        <v/>
      </c>
      <c r="E17" s="49" t="str">
        <f t="shared" si="1"/>
        <v/>
      </c>
      <c r="F17" s="49"/>
    </row>
    <row r="18" spans="1:6" x14ac:dyDescent="0.2">
      <c r="A18" s="46"/>
      <c r="B18" s="46"/>
      <c r="C18" s="46"/>
      <c r="D18" s="51" t="str">
        <f>IF(C18="", "", 'Step4. Dashboard'!$B$11/C18)</f>
        <v/>
      </c>
      <c r="E18" s="46" t="str">
        <f t="shared" si="1"/>
        <v/>
      </c>
      <c r="F18" s="46"/>
    </row>
    <row r="19" spans="1:6" x14ac:dyDescent="0.2">
      <c r="A19" s="49"/>
      <c r="B19" s="49"/>
      <c r="C19" s="49"/>
      <c r="D19" s="50" t="str">
        <f>IF(C19="", "", 'Step4. Dashboard'!$B$11/C19)</f>
        <v/>
      </c>
      <c r="E19" s="49" t="str">
        <f t="shared" si="1"/>
        <v/>
      </c>
      <c r="F19" s="49"/>
    </row>
    <row r="20" spans="1:6" x14ac:dyDescent="0.2">
      <c r="A20" s="46"/>
      <c r="B20" s="46"/>
      <c r="C20" s="46"/>
      <c r="D20" s="51" t="str">
        <f>IF(C20="", "", 'Step4. Dashboard'!$B$11/C20)</f>
        <v/>
      </c>
      <c r="E20" s="46" t="str">
        <f t="shared" si="1"/>
        <v/>
      </c>
      <c r="F20" s="46"/>
    </row>
    <row r="21" spans="1:6" x14ac:dyDescent="0.2">
      <c r="A21" s="49"/>
      <c r="B21" s="49"/>
      <c r="C21" s="49"/>
      <c r="D21" s="50" t="str">
        <f>IF(C21="", "", 'Step4. Dashboard'!$B$11/C21)</f>
        <v/>
      </c>
      <c r="E21" s="49" t="str">
        <f t="shared" si="1"/>
        <v/>
      </c>
      <c r="F21" s="49"/>
    </row>
    <row r="22" spans="1:6" x14ac:dyDescent="0.2">
      <c r="A22" s="46"/>
      <c r="B22" s="46"/>
      <c r="C22" s="46"/>
      <c r="D22" s="51" t="str">
        <f>IF(C22="", "", 'Step4. Dashboard'!$B$11/C22)</f>
        <v/>
      </c>
      <c r="E22" s="46" t="str">
        <f t="shared" si="1"/>
        <v/>
      </c>
      <c r="F22" s="46"/>
    </row>
    <row r="23" spans="1:6" x14ac:dyDescent="0.2">
      <c r="D23" s="52" t="str">
        <f>IF(C23="", "", 'Step4. Dashboard'!$B$11/C23)</f>
        <v/>
      </c>
      <c r="E23" s="1" t="str">
        <f t="shared" si="1"/>
        <v/>
      </c>
    </row>
    <row r="24" spans="1:6" x14ac:dyDescent="0.2">
      <c r="D24" s="1" t="str">
        <f>IF(C24="", "", 'Step4. Dashboard'!$B$11/C24)</f>
        <v/>
      </c>
      <c r="E24" s="1" t="str">
        <f t="shared" si="1"/>
        <v/>
      </c>
    </row>
    <row r="25" spans="1:6" x14ac:dyDescent="0.2">
      <c r="D25" s="1" t="str">
        <f>IF(C25="", "", 'Step4. Dashboard'!$B$11/C25)</f>
        <v/>
      </c>
      <c r="E25" s="1" t="str">
        <f t="shared" si="1"/>
        <v/>
      </c>
    </row>
    <row r="26" spans="1:6" x14ac:dyDescent="0.2">
      <c r="D26" s="1" t="str">
        <f>IF(C26="", "", 'Step4. Dashboard'!$B$11/C26)</f>
        <v/>
      </c>
      <c r="E26" s="1" t="str">
        <f t="shared" si="1"/>
        <v/>
      </c>
    </row>
    <row r="27" spans="1:6" x14ac:dyDescent="0.2">
      <c r="D27" s="1" t="str">
        <f>IF(C27="", "", 'Step4. Dashboard'!$B$11/C27)</f>
        <v/>
      </c>
      <c r="E27" s="1" t="str">
        <f t="shared" si="1"/>
        <v/>
      </c>
    </row>
  </sheetData>
  <dataValidations count="1">
    <dataValidation type="list" allowBlank="1" showInputMessage="1" showErrorMessage="1" sqref="B6:B21" xr:uid="{00000000-0002-0000-0200-000000000000}">
      <formula1>"Low,Moderate,Elevated,Severe"</formula1>
      <formula2>0</formula2>
    </dataValidation>
  </dataValidations>
  <pageMargins left="0.75" right="0.75" top="1" bottom="1" header="0.5" footer="0.511811023622047"/>
  <pageSetup paperSize="9" orientation="portrait" horizontalDpi="300" verticalDpi="300"/>
  <headerFooter>
    <oddHeader>&amp;LNote: Country-adjusted readiness provides country-specific context and does not affect overall adjusted readiness score.</oddHead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B6CB0"/>
  </sheetPr>
  <dimension ref="A1:E9"/>
  <sheetViews>
    <sheetView showGridLines="0" zoomScale="90" zoomScaleNormal="90" zoomScalePageLayoutView="90" workbookViewId="0">
      <pane ySplit="1" topLeftCell="A3" activePane="bottomLeft" state="frozen"/>
      <selection pane="bottomLeft" activeCell="B5" sqref="B5"/>
    </sheetView>
  </sheetViews>
  <sheetFormatPr baseColWidth="10" defaultColWidth="0" defaultRowHeight="15" x14ac:dyDescent="0.2"/>
  <cols>
    <col min="1" max="1" width="60" style="53" customWidth="1"/>
    <col min="2" max="2" width="20" style="54" customWidth="1"/>
    <col min="3" max="16384" width="8.83203125" style="53" hidden="1"/>
  </cols>
  <sheetData>
    <row r="1" spans="1:5" s="1" customFormat="1" ht="36" customHeight="1" x14ac:dyDescent="0.2">
      <c r="A1" s="3" t="s">
        <v>190</v>
      </c>
      <c r="B1" s="55"/>
      <c r="C1" s="55"/>
      <c r="D1" s="4"/>
    </row>
    <row r="2" spans="1:5" ht="21.75" customHeight="1" x14ac:dyDescent="0.2">
      <c r="A2" s="6" t="s">
        <v>191</v>
      </c>
      <c r="B2" s="8"/>
      <c r="C2" s="8"/>
      <c r="D2" s="8"/>
    </row>
    <row r="3" spans="1:5" x14ac:dyDescent="0.2">
      <c r="A3" s="56"/>
      <c r="B3" s="57"/>
      <c r="C3" s="58"/>
    </row>
    <row r="4" spans="1:5" ht="18" customHeight="1" x14ac:dyDescent="0.2">
      <c r="A4" s="23" t="s">
        <v>94</v>
      </c>
      <c r="B4" s="23" t="s">
        <v>192</v>
      </c>
      <c r="C4" s="59" t="s">
        <v>184</v>
      </c>
    </row>
    <row r="5" spans="1:5" ht="60" customHeight="1" x14ac:dyDescent="0.2">
      <c r="A5" s="60" t="s">
        <v>193</v>
      </c>
      <c r="B5" s="61" t="s">
        <v>194</v>
      </c>
      <c r="C5" s="62">
        <f>IF(B5="Yes",1.8,1)</f>
        <v>1.8</v>
      </c>
      <c r="D5" s="63"/>
      <c r="E5" s="63"/>
    </row>
    <row r="6" spans="1:5" ht="60" customHeight="1" x14ac:dyDescent="0.2">
      <c r="A6" s="64" t="s">
        <v>195</v>
      </c>
      <c r="B6" s="65" t="s">
        <v>41</v>
      </c>
      <c r="C6" s="62">
        <f>IF(B6="Single site",1,IF(B6="Multiple sites (same country)",1.2,IF(B6="Multi-country / remote operations",1.4,"")))</f>
        <v>1.4</v>
      </c>
      <c r="D6" s="63"/>
      <c r="E6" s="63"/>
    </row>
    <row r="7" spans="1:5" hidden="1" x14ac:dyDescent="0.2">
      <c r="A7" s="66" t="s">
        <v>196</v>
      </c>
      <c r="C7" s="67">
        <f>C5 * C6</f>
        <v>2.52</v>
      </c>
      <c r="D7" s="63"/>
      <c r="E7" s="63"/>
    </row>
    <row r="8" spans="1:5" x14ac:dyDescent="0.2">
      <c r="A8" s="63"/>
      <c r="B8" s="68"/>
      <c r="C8" s="63"/>
      <c r="D8" s="63"/>
      <c r="E8" s="63"/>
    </row>
    <row r="9" spans="1:5" x14ac:dyDescent="0.2">
      <c r="A9" s="63"/>
      <c r="B9" s="68"/>
      <c r="C9" s="63"/>
      <c r="D9" s="63"/>
      <c r="E9" s="63"/>
    </row>
  </sheetData>
  <dataValidations count="2">
    <dataValidation type="list" allowBlank="1" sqref="B5" xr:uid="{00000000-0002-0000-0300-000000000000}">
      <formula1>"Yes,No"</formula1>
      <formula2>0</formula2>
    </dataValidation>
    <dataValidation type="list" allowBlank="1" sqref="B6" xr:uid="{00000000-0002-0000-0300-000001000000}">
      <formula1>"Single site,Multiple sites (same country),Multi-country / remote operations"</formula1>
      <formula2>0</formula2>
    </dataValidation>
  </dataValidations>
  <pageMargins left="0.75" right="0.75" top="1" bottom="1" header="0.511811023622047" footer="0.511811023622047"/>
  <pageSetup paperSize="9" scale="7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A2E44"/>
  </sheetPr>
  <dimension ref="A1:Q48"/>
  <sheetViews>
    <sheetView showGridLines="0" zoomScale="80" zoomScaleNormal="80" workbookViewId="0">
      <pane ySplit="1" topLeftCell="A3" activePane="bottomLeft" state="frozen"/>
      <selection pane="bottomLeft" activeCell="B14" sqref="B14"/>
    </sheetView>
  </sheetViews>
  <sheetFormatPr baseColWidth="10" defaultColWidth="8.83203125" defaultRowHeight="15" customHeight="1" x14ac:dyDescent="0.2"/>
  <cols>
    <col min="1" max="1" width="52" style="63" customWidth="1"/>
    <col min="2" max="2" width="14" style="69" customWidth="1"/>
    <col min="3" max="3" width="38" style="63" customWidth="1"/>
    <col min="4" max="4" width="60.6640625" style="63" customWidth="1"/>
    <col min="5" max="5" width="54.33203125" style="63" customWidth="1"/>
    <col min="6" max="12" width="8.83203125" style="63"/>
    <col min="13" max="13" width="9.83203125" style="63" customWidth="1"/>
    <col min="14" max="17" width="8.83203125" style="63" hidden="1"/>
    <col min="18" max="18" width="6.5" style="63" customWidth="1"/>
    <col min="19" max="16384" width="8.83203125" style="63"/>
  </cols>
  <sheetData>
    <row r="1" spans="1:5" s="10" customFormat="1" ht="36" customHeight="1" x14ac:dyDescent="0.2">
      <c r="A1" s="3" t="s">
        <v>197</v>
      </c>
      <c r="B1" s="4"/>
      <c r="C1" s="4"/>
      <c r="D1" s="4"/>
      <c r="E1" s="4"/>
    </row>
    <row r="2" spans="1:5" s="10" customFormat="1" ht="21.75" customHeight="1" x14ac:dyDescent="0.2">
      <c r="A2" s="6" t="s">
        <v>198</v>
      </c>
      <c r="B2" s="8"/>
      <c r="C2" s="8"/>
      <c r="D2" s="8"/>
      <c r="E2" s="8"/>
    </row>
    <row r="3" spans="1:5" s="10" customFormat="1" ht="27.75" customHeight="1" x14ac:dyDescent="0.2">
      <c r="A3" s="70" t="s">
        <v>199</v>
      </c>
    </row>
    <row r="4" spans="1:5" s="10" customFormat="1" ht="15" customHeight="1" x14ac:dyDescent="0.2">
      <c r="A4" s="71"/>
    </row>
    <row r="5" spans="1:5" s="10" customFormat="1" ht="15" customHeight="1" x14ac:dyDescent="0.2">
      <c r="A5" s="72"/>
    </row>
    <row r="6" spans="1:5" s="10" customFormat="1" ht="15" customHeight="1" x14ac:dyDescent="0.2">
      <c r="A6" s="72"/>
    </row>
    <row r="7" spans="1:5" s="10" customFormat="1" ht="15" customHeight="1" x14ac:dyDescent="0.2">
      <c r="A7" s="2"/>
    </row>
    <row r="8" spans="1:5" s="10" customFormat="1" ht="15" customHeight="1" x14ac:dyDescent="0.2">
      <c r="A8" s="15"/>
    </row>
    <row r="9" spans="1:5" s="10" customFormat="1" ht="15" customHeight="1" x14ac:dyDescent="0.2">
      <c r="A9" s="72"/>
    </row>
    <row r="10" spans="1:5" ht="18" customHeight="1" x14ac:dyDescent="0.2">
      <c r="A10" s="23" t="s">
        <v>200</v>
      </c>
      <c r="B10" s="23" t="s">
        <v>201</v>
      </c>
      <c r="C10" s="23" t="s">
        <v>202</v>
      </c>
    </row>
    <row r="11" spans="1:5" ht="18" customHeight="1" x14ac:dyDescent="0.2">
      <c r="A11" s="73" t="s">
        <v>45</v>
      </c>
      <c r="B11" s="74">
        <f>IFERROR(AVERAGE(B28:B35)/100,0)</f>
        <v>0.75</v>
      </c>
      <c r="C11" s="75"/>
    </row>
    <row r="12" spans="1:5" ht="18" customHeight="1" x14ac:dyDescent="0.2">
      <c r="A12" s="73" t="s">
        <v>47</v>
      </c>
      <c r="B12" s="76" t="str">
        <f>IF(B11&lt;0.3,"Critical",IF(B11&lt;0.5,"Fragile",IF(B11&lt;0.7,"Developing",IF(B11&lt;0.85,"Operational","Mature"))))</f>
        <v>Operational</v>
      </c>
      <c r="C12" s="75"/>
      <c r="E12" s="10"/>
    </row>
    <row r="13" spans="1:5" ht="18" customHeight="1" x14ac:dyDescent="0.2">
      <c r="A13" s="73" t="s">
        <v>203</v>
      </c>
      <c r="B13" s="74">
        <f>IFERROR(B11/MIN('Step3. Activity &amp; Op Exposure'!C7*IF(MAX('Step2. Country Risk'!C6:C22)&gt;=1,MAX('Step2. Country Risk'!C6:C22),1),2.5),0)</f>
        <v>0.3</v>
      </c>
      <c r="C13" s="75"/>
      <c r="D13" s="77"/>
      <c r="E13" s="10"/>
    </row>
    <row r="14" spans="1:5" ht="18" customHeight="1" x14ac:dyDescent="0.2">
      <c r="A14" s="73" t="s">
        <v>204</v>
      </c>
      <c r="B14" s="76" t="str">
        <f>IF(B13&lt;0.3,"Critical",IF(B13&lt;0.5,"Fragile",IF(B13&lt;0.7,"Developing",IF(B13&lt;0.85,"Operational","Mature"))))</f>
        <v>Fragile</v>
      </c>
      <c r="C14" s="75"/>
      <c r="D14" s="77"/>
      <c r="E14" s="10"/>
    </row>
    <row r="15" spans="1:5" ht="18" customHeight="1" x14ac:dyDescent="0.2">
      <c r="A15" s="73" t="s">
        <v>54</v>
      </c>
      <c r="B15" s="78" t="str">
        <f>IF(B13&lt;0.5,"Not sufficient for operating context and activities",IF(B13&lt;0.7,"Capability present but requires strengthening","Capability broadly appropriate for current risk profile"))</f>
        <v>Not sufficient for operating context and activities</v>
      </c>
      <c r="C15" s="62"/>
      <c r="E15" s="10"/>
    </row>
    <row r="16" spans="1:5" ht="15" customHeight="1" x14ac:dyDescent="0.2">
      <c r="B16" s="63"/>
      <c r="E16" s="10"/>
    </row>
    <row r="17" spans="1:5" ht="15" customHeight="1" x14ac:dyDescent="0.2">
      <c r="E17" s="10"/>
    </row>
    <row r="18" spans="1:5" ht="18" customHeight="1" x14ac:dyDescent="0.2">
      <c r="A18" s="79" t="s">
        <v>205</v>
      </c>
      <c r="B18" s="79" t="s">
        <v>206</v>
      </c>
      <c r="E18" s="10"/>
    </row>
    <row r="19" spans="1:5" ht="15.75" customHeight="1" x14ac:dyDescent="0.2">
      <c r="A19" s="80" t="s">
        <v>101</v>
      </c>
      <c r="B19" s="81">
        <f>COUNTIF('Step1. Assessment'!D5:D59,"No / None")</f>
        <v>0</v>
      </c>
    </row>
    <row r="20" spans="1:5" ht="15.75" customHeight="1" x14ac:dyDescent="0.2">
      <c r="A20" s="82" t="s">
        <v>207</v>
      </c>
      <c r="B20" s="83">
        <f>COUNTIF('Step1. Assessment'!D5:D59,"Ad hoc / Informal")</f>
        <v>0</v>
      </c>
    </row>
    <row r="21" spans="1:5" ht="15.75" customHeight="1" x14ac:dyDescent="0.2">
      <c r="A21" s="80" t="s">
        <v>208</v>
      </c>
      <c r="B21" s="81">
        <f>COUNTIF('Step1. Assessment'!D5:D59,"Partial / Infrequent")</f>
        <v>0</v>
      </c>
    </row>
    <row r="22" spans="1:5" ht="15.75" customHeight="1" x14ac:dyDescent="0.2">
      <c r="A22" s="82" t="s">
        <v>100</v>
      </c>
      <c r="B22" s="83">
        <f>COUNTIF('Step1. Assessment'!D5:D59,"Formal")</f>
        <v>55</v>
      </c>
    </row>
    <row r="23" spans="1:5" ht="15.75" customHeight="1" x14ac:dyDescent="0.2">
      <c r="A23" s="80" t="s">
        <v>116</v>
      </c>
      <c r="B23" s="81">
        <f>COUNTIF('Step1. Assessment'!D5:D59,"Embedded")</f>
        <v>0</v>
      </c>
    </row>
    <row r="24" spans="1:5" ht="15.75" customHeight="1" x14ac:dyDescent="0.2">
      <c r="A24" s="82" t="s">
        <v>121</v>
      </c>
      <c r="B24" s="83">
        <f>COUNTIF('Step1. Assessment'!D5:D59,"N/A")</f>
        <v>0</v>
      </c>
    </row>
    <row r="25" spans="1:5" ht="15" customHeight="1" x14ac:dyDescent="0.2">
      <c r="B25" s="68"/>
    </row>
    <row r="26" spans="1:5" ht="15" customHeight="1" x14ac:dyDescent="0.2">
      <c r="B26" s="68"/>
      <c r="D26" s="10"/>
    </row>
    <row r="27" spans="1:5" ht="18" customHeight="1" x14ac:dyDescent="0.2">
      <c r="A27" s="23" t="s">
        <v>93</v>
      </c>
      <c r="B27" s="23" t="s">
        <v>96</v>
      </c>
      <c r="C27" s="23" t="s">
        <v>209</v>
      </c>
      <c r="D27" s="10"/>
    </row>
    <row r="28" spans="1:5" ht="15.75" customHeight="1" x14ac:dyDescent="0.2">
      <c r="A28" s="84" t="s">
        <v>98</v>
      </c>
      <c r="B28" s="85">
        <f>IFERROR(AVERAGEIF('Step1. Assessment'!B:B,"Governance",'Step1. Assessment'!E:E)/4,0)*100</f>
        <v>75</v>
      </c>
      <c r="C28" s="86" t="str">
        <f t="shared" ref="C28:C33" si="0">IF(B28&lt;50,"High",IF(B28&lt;=70,"Medium","Low"))</f>
        <v>Low</v>
      </c>
    </row>
    <row r="29" spans="1:5" ht="15.75" customHeight="1" x14ac:dyDescent="0.2">
      <c r="A29" s="87" t="s">
        <v>119</v>
      </c>
      <c r="B29" s="88">
        <f>IFERROR(AVERAGEIF('Step1. Assessment'!B:B,"Risk",'Step1. Assessment'!E:E)/4,0)*100</f>
        <v>75</v>
      </c>
      <c r="C29" s="89" t="str">
        <f t="shared" si="0"/>
        <v>Low</v>
      </c>
      <c r="E29" s="90"/>
    </row>
    <row r="30" spans="1:5" ht="15.75" customHeight="1" x14ac:dyDescent="0.2">
      <c r="A30" s="84" t="s">
        <v>130</v>
      </c>
      <c r="B30" s="85">
        <f>IFERROR(AVERAGEIF('Step1. Assessment'!B:B,"Security",'Step1. Assessment'!E:E)/4,0)*100</f>
        <v>75</v>
      </c>
      <c r="C30" s="86" t="str">
        <f t="shared" si="0"/>
        <v>Low</v>
      </c>
    </row>
    <row r="31" spans="1:5" ht="15.75" customHeight="1" x14ac:dyDescent="0.2">
      <c r="A31" s="87" t="s">
        <v>142</v>
      </c>
      <c r="B31" s="88">
        <f>IFERROR(AVERAGEIF('Step1. Assessment'!B:B,"Crisis",'Step1. Assessment'!E:E)/4,0)*100</f>
        <v>75</v>
      </c>
      <c r="C31" s="89" t="str">
        <f t="shared" si="0"/>
        <v>Low</v>
      </c>
    </row>
    <row r="32" spans="1:5" ht="15.75" customHeight="1" x14ac:dyDescent="0.2">
      <c r="A32" s="84" t="s">
        <v>151</v>
      </c>
      <c r="B32" s="85">
        <f>IFERROR(AVERAGEIF('Step1. Assessment'!B:B,"BCP",'Step1. Assessment'!E:E)/4,0)*100</f>
        <v>75</v>
      </c>
      <c r="C32" s="86" t="str">
        <f t="shared" si="0"/>
        <v>Low</v>
      </c>
    </row>
    <row r="33" spans="1:4" ht="15.75" customHeight="1" x14ac:dyDescent="0.2">
      <c r="A33" s="87" t="s">
        <v>158</v>
      </c>
      <c r="B33" s="88">
        <f>IFERROR(AVERAGEIF('Step1. Assessment'!B:B,"People",'Step1. Assessment'!E:E)/4,0)*100</f>
        <v>75</v>
      </c>
      <c r="C33" s="89" t="str">
        <f t="shared" si="0"/>
        <v>Low</v>
      </c>
    </row>
    <row r="34" spans="1:4" ht="15.75" customHeight="1" x14ac:dyDescent="0.2">
      <c r="A34" s="84" t="s">
        <v>166</v>
      </c>
      <c r="B34" s="85">
        <f>IFERROR(AVERAGEIF('Step1. Assessment'!B:B,"Operations",'Step1. Assessment'!E:E)/4,0)*100</f>
        <v>75</v>
      </c>
      <c r="C34" s="86" t="str">
        <f>IF(B34&lt;50,"High",IF(B34&lt;70,"Medium","Low"))</f>
        <v>Low</v>
      </c>
    </row>
    <row r="35" spans="1:4" ht="15.75" customHeight="1" x14ac:dyDescent="0.2">
      <c r="A35" s="87" t="s">
        <v>173</v>
      </c>
      <c r="B35" s="88">
        <f>IFERROR(AVERAGEIF('Step1. Assessment'!B:B,"Assurance",'Step1. Assessment'!E:E)/4,0)*100</f>
        <v>75</v>
      </c>
      <c r="C35" s="89" t="str">
        <f>IF(B35&lt;50,"High",IF(B35&lt;70,"Medium","Low"))</f>
        <v>Low</v>
      </c>
    </row>
    <row r="36" spans="1:4" ht="15" customHeight="1" x14ac:dyDescent="0.2">
      <c r="C36" s="91"/>
    </row>
    <row r="40" spans="1:4" ht="15" customHeight="1" x14ac:dyDescent="0.2">
      <c r="A40" s="92"/>
      <c r="B40" s="93"/>
      <c r="C40" s="92"/>
      <c r="D40" s="92"/>
    </row>
    <row r="41" spans="1:4" ht="15" customHeight="1" x14ac:dyDescent="0.2">
      <c r="A41" s="92"/>
      <c r="B41" s="93"/>
      <c r="C41" s="92"/>
      <c r="D41" s="92"/>
    </row>
    <row r="42" spans="1:4" ht="15" customHeight="1" x14ac:dyDescent="0.2">
      <c r="A42" s="92"/>
      <c r="B42" s="93"/>
      <c r="C42" s="92"/>
      <c r="D42" s="92"/>
    </row>
    <row r="43" spans="1:4" ht="15" customHeight="1" x14ac:dyDescent="0.2">
      <c r="A43" s="92"/>
      <c r="B43" s="93"/>
      <c r="C43" s="92"/>
      <c r="D43" s="92"/>
    </row>
    <row r="44" spans="1:4" ht="15" customHeight="1" x14ac:dyDescent="0.2">
      <c r="A44" s="92"/>
      <c r="B44" s="93"/>
      <c r="C44" s="92"/>
      <c r="D44" s="92"/>
    </row>
    <row r="45" spans="1:4" ht="15" customHeight="1" x14ac:dyDescent="0.2">
      <c r="A45" s="92"/>
      <c r="B45" s="93"/>
      <c r="C45" s="92"/>
      <c r="D45" s="92"/>
    </row>
    <row r="46" spans="1:4" ht="15" customHeight="1" x14ac:dyDescent="0.2">
      <c r="A46" s="92"/>
      <c r="B46" s="93"/>
      <c r="C46" s="92"/>
      <c r="D46" s="92"/>
    </row>
    <row r="47" spans="1:4" ht="15" customHeight="1" x14ac:dyDescent="0.2">
      <c r="A47" s="92"/>
      <c r="B47" s="93"/>
      <c r="C47" s="92"/>
      <c r="D47" s="92"/>
    </row>
    <row r="48" spans="1:4" ht="15" customHeight="1" x14ac:dyDescent="0.2">
      <c r="A48" s="92"/>
      <c r="B48" s="93"/>
      <c r="C48" s="92"/>
      <c r="D48" s="92"/>
    </row>
  </sheetData>
  <conditionalFormatting sqref="B12 B14">
    <cfRule type="cellIs" dxfId="7" priority="2" operator="equal">
      <formula>"Mature"</formula>
    </cfRule>
    <cfRule type="cellIs" dxfId="6" priority="3" operator="equal">
      <formula>"Developing"</formula>
    </cfRule>
    <cfRule type="cellIs" dxfId="5" priority="4" operator="equal">
      <formula>"Developing"</formula>
    </cfRule>
    <cfRule type="cellIs" dxfId="4" priority="5" operator="equal">
      <formula>"Fragile"</formula>
    </cfRule>
    <cfRule type="cellIs" dxfId="3" priority="6" operator="equal">
      <formula>"Critical"</formula>
    </cfRule>
  </conditionalFormatting>
  <conditionalFormatting sqref="C28:C35">
    <cfRule type="cellIs" dxfId="2" priority="7" operator="equal">
      <formula>"Low"</formula>
    </cfRule>
    <cfRule type="cellIs" dxfId="1" priority="8" operator="equal">
      <formula>"Medium"</formula>
    </cfRule>
    <cfRule type="cellIs" dxfId="0" priority="9" operator="equal">
      <formula>"High"</formula>
    </cfRule>
  </conditionalFormatting>
  <pageMargins left="0.75" right="0.75" top="1" bottom="1"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B6CB0"/>
  </sheetPr>
  <dimension ref="A1:D35"/>
  <sheetViews>
    <sheetView showGridLines="0" zoomScale="90" zoomScaleNormal="90" workbookViewId="0">
      <pane ySplit="1" topLeftCell="A2" activePane="bottomLeft" state="frozen"/>
      <selection pane="bottomLeft"/>
    </sheetView>
  </sheetViews>
  <sheetFormatPr baseColWidth="10" defaultColWidth="8.83203125" defaultRowHeight="15" x14ac:dyDescent="0.2"/>
  <cols>
    <col min="1" max="1" width="127.33203125" style="94" customWidth="1"/>
    <col min="2" max="16384" width="8.83203125" style="1"/>
  </cols>
  <sheetData>
    <row r="1" spans="1:4" ht="36" customHeight="1" x14ac:dyDescent="0.2">
      <c r="A1" s="3" t="s">
        <v>210</v>
      </c>
      <c r="B1" s="4"/>
      <c r="C1" s="4"/>
      <c r="D1" s="4"/>
    </row>
    <row r="2" spans="1:4" ht="21.75" customHeight="1" x14ac:dyDescent="0.25">
      <c r="A2" s="95"/>
      <c r="B2" s="8"/>
      <c r="C2" s="8"/>
      <c r="D2" s="8"/>
    </row>
    <row r="3" spans="1:4" ht="15.75" customHeight="1" x14ac:dyDescent="0.2">
      <c r="A3" s="96" t="s">
        <v>211</v>
      </c>
    </row>
    <row r="4" spans="1:4" ht="96" customHeight="1" x14ac:dyDescent="0.2">
      <c r="A4" s="97" t="s">
        <v>212</v>
      </c>
      <c r="B4" s="98"/>
    </row>
    <row r="5" spans="1:4" ht="18.75" customHeight="1" x14ac:dyDescent="0.25">
      <c r="A5" s="99"/>
    </row>
    <row r="6" spans="1:4" ht="18.75" customHeight="1" x14ac:dyDescent="0.25">
      <c r="A6" s="100"/>
      <c r="B6" s="13"/>
    </row>
    <row r="7" spans="1:4" ht="18.75" customHeight="1" x14ac:dyDescent="0.25">
      <c r="A7" s="100"/>
      <c r="B7" s="11"/>
    </row>
    <row r="8" spans="1:4" x14ac:dyDescent="0.2">
      <c r="A8" s="97"/>
    </row>
    <row r="9" spans="1:4" ht="15.75" customHeight="1" x14ac:dyDescent="0.2">
      <c r="A9" s="96" t="s">
        <v>213</v>
      </c>
    </row>
    <row r="10" spans="1:4" ht="15.75" customHeight="1" x14ac:dyDescent="0.2">
      <c r="A10" s="101" t="str">
        <f>"Theoretical readiness: " &amp; TEXT('Step4. Dashboard'!B11,"0%")&amp; " | Actual readiness: " &amp; TEXT('Step4. Dashboard'!B13,"0%")</f>
        <v>Theoretical readiness: 75% | Actual readiness: 30%</v>
      </c>
    </row>
    <row r="11" spans="1:4" ht="15.75" customHeight="1" x14ac:dyDescent="0.2">
      <c r="A11" s="101" t="str">
        <f>"Actual readiness level: " &amp; 'Step4. Dashboard'!B12 &amp; " | Overall assessment: " &amp; 'Step4. Dashboard'!B15</f>
        <v>Actual readiness level: Operational | Overall assessment: Not sufficient for operating context and activities</v>
      </c>
    </row>
    <row r="12" spans="1:4" ht="15.75" customHeight="1" x14ac:dyDescent="0.2">
      <c r="A12" s="97" t="str">
        <f>IF('Step4. Dashboard'!B13&lt;'Step4. Dashboard'!B11,"The actual readiness score is lower than the theoretical score, indicating that current capability may not be sufficient for the organisation’s level of operational exposure.","Actual readiness is broadly aligned with current capability.")</f>
        <v>The actual readiness score is lower than the theoretical score, indicating that current capability may not be sufficient for the organisation’s level of operational exposure.</v>
      </c>
    </row>
    <row r="13" spans="1:4" ht="15.75" customHeight="1" x14ac:dyDescent="0.2">
      <c r="A13" s="97"/>
    </row>
    <row r="14" spans="1:4" ht="15.75" customHeight="1" x14ac:dyDescent="0.2">
      <c r="A14" s="96" t="s">
        <v>214</v>
      </c>
    </row>
    <row r="15" spans="1:4" ht="31.5" customHeight="1" x14ac:dyDescent="0.2">
      <c r="A15" s="97" t="s">
        <v>215</v>
      </c>
    </row>
    <row r="16" spans="1:4" x14ac:dyDescent="0.2">
      <c r="A16" s="97"/>
    </row>
    <row r="17" spans="1:4" ht="31.5" customHeight="1" x14ac:dyDescent="0.2">
      <c r="A17" s="97" t="s">
        <v>216</v>
      </c>
    </row>
    <row r="18" spans="1:4" x14ac:dyDescent="0.2">
      <c r="A18" s="97"/>
    </row>
    <row r="19" spans="1:4" ht="15.75" customHeight="1" x14ac:dyDescent="0.2">
      <c r="A19" s="96" t="s">
        <v>217</v>
      </c>
    </row>
    <row r="20" spans="1:4" ht="31.5" customHeight="1" x14ac:dyDescent="0.2">
      <c r="A20" s="97" t="s">
        <v>218</v>
      </c>
    </row>
    <row r="21" spans="1:4" x14ac:dyDescent="0.2">
      <c r="A21" s="97"/>
    </row>
    <row r="22" spans="1:4" ht="15.75" customHeight="1" x14ac:dyDescent="0.2">
      <c r="A22" s="102" t="str">
        <f>IF(COUNTIF('Step4. Dashboard'!C28:C35,"High")=8,"All core capability areas have been identified as high priority,indicating that organisational capability is not currently aligned with operational demands. A broad-based strengthening approach is required.","These areas represent the most important opportunities to strengthen capability in relation to your current operating context.")</f>
        <v>These areas represent the most important opportunities to strengthen capability in relation to your current operating context.</v>
      </c>
      <c r="C22" s="2"/>
      <c r="D22" s="2"/>
    </row>
    <row r="23" spans="1:4" ht="16" x14ac:dyDescent="0.2">
      <c r="A23" s="102" t="str">
        <f>"1. " &amp;'Step4. Dashboard'!A28</f>
        <v>1. Governance</v>
      </c>
      <c r="C23" s="103" t="s">
        <v>219</v>
      </c>
      <c r="D23" s="2"/>
    </row>
    <row r="24" spans="1:4" ht="16" x14ac:dyDescent="0.2">
      <c r="A24" s="102" t="str">
        <f>"2. " &amp;'Step4. Dashboard'!A29</f>
        <v>2. Risk</v>
      </c>
      <c r="C24" s="103" t="s">
        <v>220</v>
      </c>
      <c r="D24" s="2"/>
    </row>
    <row r="25" spans="1:4" ht="16" x14ac:dyDescent="0.2">
      <c r="A25" s="102" t="str">
        <f>"3. " &amp;'Step4. Dashboard'!A30</f>
        <v>3. Security</v>
      </c>
      <c r="C25" s="103" t="s">
        <v>221</v>
      </c>
      <c r="D25" s="2"/>
    </row>
    <row r="26" spans="1:4" ht="16" x14ac:dyDescent="0.2">
      <c r="A26" s="97" t="str">
        <f>"4. " &amp;'Step4. Dashboard'!A31</f>
        <v>4. Crisis</v>
      </c>
      <c r="C26" s="103" t="s">
        <v>222</v>
      </c>
      <c r="D26" s="2"/>
    </row>
    <row r="27" spans="1:4" x14ac:dyDescent="0.2">
      <c r="A27" s="1" t="str">
        <f>"5. " &amp;'Step4. Dashboard'!A32</f>
        <v>5. BCP</v>
      </c>
      <c r="C27" s="103" t="s">
        <v>223</v>
      </c>
      <c r="D27" s="2"/>
    </row>
    <row r="28" spans="1:4" x14ac:dyDescent="0.2">
      <c r="A28" s="1" t="str">
        <f>"6. " &amp;'Step4. Dashboard'!A33</f>
        <v>6. People</v>
      </c>
      <c r="C28" s="103" t="s">
        <v>224</v>
      </c>
      <c r="D28" s="2"/>
    </row>
    <row r="29" spans="1:4" ht="16" x14ac:dyDescent="0.2">
      <c r="A29" s="104" t="str">
        <f>"7. " &amp;'Step4. Dashboard'!A34</f>
        <v>7. Operations</v>
      </c>
      <c r="C29" s="103" t="s">
        <v>225</v>
      </c>
      <c r="D29" s="2"/>
    </row>
    <row r="30" spans="1:4" ht="16" x14ac:dyDescent="0.2">
      <c r="A30" s="104" t="str">
        <f>"8. " &amp;'Step4. Dashboard'!A35</f>
        <v>8. Assurance</v>
      </c>
      <c r="C30" s="103" t="s">
        <v>226</v>
      </c>
      <c r="D30" s="2"/>
    </row>
    <row r="31" spans="1:4" x14ac:dyDescent="0.2">
      <c r="C31" s="2"/>
      <c r="D31" s="2"/>
    </row>
    <row r="32" spans="1:4" x14ac:dyDescent="0.2">
      <c r="A32" s="105" t="s">
        <v>227</v>
      </c>
    </row>
    <row r="33" spans="1:1" ht="16" x14ac:dyDescent="0.2">
      <c r="A33" s="94" t="s">
        <v>228</v>
      </c>
    </row>
    <row r="34" spans="1:1" ht="16" x14ac:dyDescent="0.2">
      <c r="A34" s="94" t="s">
        <v>229</v>
      </c>
    </row>
    <row r="35" spans="1:1" ht="16" x14ac:dyDescent="0.2">
      <c r="A35" s="94" t="s">
        <v>230</v>
      </c>
    </row>
  </sheetData>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888888"/>
  </sheetPr>
  <dimension ref="A1:D5"/>
  <sheetViews>
    <sheetView showGridLines="0" zoomScaleNormal="100" workbookViewId="0">
      <selection activeCell="L22" sqref="L22"/>
    </sheetView>
  </sheetViews>
  <sheetFormatPr baseColWidth="10" defaultColWidth="10.6640625" defaultRowHeight="15" x14ac:dyDescent="0.2"/>
  <cols>
    <col min="1" max="1" width="80" customWidth="1"/>
  </cols>
  <sheetData>
    <row r="1" spans="1:4" ht="36" customHeight="1" x14ac:dyDescent="0.2">
      <c r="A1" s="3" t="s">
        <v>231</v>
      </c>
      <c r="B1" s="4"/>
      <c r="C1" s="4"/>
      <c r="D1" s="4"/>
    </row>
    <row r="2" spans="1:4" ht="21.75" customHeight="1" x14ac:dyDescent="0.2">
      <c r="A2" s="8"/>
      <c r="B2" s="8"/>
      <c r="C2" s="8"/>
      <c r="D2" s="8"/>
    </row>
    <row r="3" spans="1:4" x14ac:dyDescent="0.2">
      <c r="A3" s="105" t="s">
        <v>232</v>
      </c>
    </row>
    <row r="4" spans="1:4" x14ac:dyDescent="0.2">
      <c r="A4" s="106" t="s">
        <v>233</v>
      </c>
    </row>
    <row r="5" spans="1:4" x14ac:dyDescent="0.2">
      <c r="A5" s="107" t="s">
        <v>234</v>
      </c>
    </row>
  </sheetData>
  <pageMargins left="0.7" right="0.7" top="0.75" bottom="0.75" header="0.511811023622047" footer="0.511811023622047"/>
  <pageSetup paperSize="9"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88888"/>
  </sheetPr>
  <dimension ref="A1:D8"/>
  <sheetViews>
    <sheetView showGridLines="0" zoomScaleNormal="100" workbookViewId="0">
      <selection activeCell="G27" sqref="G27"/>
    </sheetView>
  </sheetViews>
  <sheetFormatPr baseColWidth="10" defaultColWidth="10.6640625" defaultRowHeight="15" x14ac:dyDescent="0.2"/>
  <cols>
    <col min="1" max="1" width="80" customWidth="1"/>
  </cols>
  <sheetData>
    <row r="1" spans="1:4" ht="36" customHeight="1" x14ac:dyDescent="0.2">
      <c r="A1" s="3" t="s">
        <v>235</v>
      </c>
      <c r="B1" s="4"/>
      <c r="C1" s="4"/>
      <c r="D1" s="4"/>
    </row>
    <row r="2" spans="1:4" ht="21.75" customHeight="1" x14ac:dyDescent="0.2">
      <c r="A2" s="8"/>
      <c r="B2" s="8"/>
      <c r="C2" s="8"/>
      <c r="D2" s="8"/>
    </row>
    <row r="3" spans="1:4" x14ac:dyDescent="0.2">
      <c r="A3" s="106" t="s">
        <v>236</v>
      </c>
    </row>
    <row r="4" spans="1:4" x14ac:dyDescent="0.2">
      <c r="A4" s="106" t="s">
        <v>237</v>
      </c>
    </row>
    <row r="5" spans="1:4" x14ac:dyDescent="0.2">
      <c r="A5" s="106" t="s">
        <v>238</v>
      </c>
    </row>
    <row r="7" spans="1:4" x14ac:dyDescent="0.2">
      <c r="A7" s="105" t="s">
        <v>239</v>
      </c>
    </row>
    <row r="8" spans="1:4" x14ac:dyDescent="0.2">
      <c r="A8" s="107" t="s">
        <v>230</v>
      </c>
    </row>
  </sheetData>
  <pageMargins left="0.7" right="0.7" top="0.75" bottom="0.75"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CLIENT USER GUIDE</vt:lpstr>
      <vt:lpstr>Step1. Assessment</vt:lpstr>
      <vt:lpstr>Step2. Country Risk</vt:lpstr>
      <vt:lpstr>Step3. Activity &amp; Op Exposure</vt:lpstr>
      <vt:lpstr>Step4. Dashboard</vt:lpstr>
      <vt:lpstr>STEP5. Acting on Your Results</vt:lpstr>
      <vt:lpstr>Copyright</vt:lpstr>
      <vt:lpstr>About Maravi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Tim Neill</dc:creator>
  <dc:description/>
  <cp:lastModifiedBy>Tim Neill</cp:lastModifiedBy>
  <cp:revision>1</cp:revision>
  <dcterms:created xsi:type="dcterms:W3CDTF">2026-05-20T06:41:09Z</dcterms:created>
  <dcterms:modified xsi:type="dcterms:W3CDTF">2026-07-04T09:39:18Z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0x010100B40A5B49A83CFE479C2297D37EF08D7A</vt:lpwstr>
  </property>
</Properties>
</file>