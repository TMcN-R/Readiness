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https://maravigroup.sharepoint.com/sites/Knowledgelibrary/Shared Documents/Tools and templates/"/>
    </mc:Choice>
  </mc:AlternateContent>
  <xr:revisionPtr revIDLastSave="1312" documentId="8_{CE8CB431-3F5F-4B83-A177-CEC55B87E1E4}" xr6:coauthVersionLast="47" xr6:coauthVersionMax="47" xr10:uidLastSave="{74836C40-4C69-6844-911A-5F35632E8FC7}"/>
  <bookViews>
    <workbookView xWindow="0" yWindow="0" windowWidth="38400" windowHeight="21600" tabRatio="853" activeTab="5" xr2:uid="{00000000-000D-0000-FFFF-FFFF00000000}"/>
  </bookViews>
  <sheets>
    <sheet name="CLIENT USER GUIDE" sheetId="9" r:id="rId1"/>
    <sheet name="Step1. Assessment" sheetId="2" r:id="rId2"/>
    <sheet name="Step2. Country Risk" sheetId="4" r:id="rId3"/>
    <sheet name="Step3. Activity &amp; Op Exposure" sheetId="5" r:id="rId4"/>
    <sheet name="Step4. Dashboard" sheetId="3" r:id="rId5"/>
    <sheet name="STEP5. Acting on Your Results" sheetId="6" r:id="rId6"/>
    <sheet name="Copyright" sheetId="12" r:id="rId7"/>
    <sheet name="About Maravi" sheetId="10"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4" l="1"/>
  <c r="F8" i="4"/>
  <c r="F6" i="4"/>
  <c r="G2" i="4" l="1"/>
  <c r="A25" i="6" l="1"/>
  <c r="A24" i="6"/>
  <c r="A23" i="6"/>
  <c r="C6" i="4"/>
  <c r="C7" i="4"/>
  <c r="C8" i="4"/>
  <c r="C6" i="5" l="1"/>
  <c r="C5" i="5"/>
  <c r="B21" i="3"/>
  <c r="B20" i="3"/>
  <c r="C7" i="5" l="1"/>
  <c r="D16" i="4"/>
  <c r="E16" i="4" s="1"/>
  <c r="D17" i="4"/>
  <c r="E17" i="4" s="1"/>
  <c r="D18" i="4"/>
  <c r="E18" i="4" s="1"/>
  <c r="D19" i="4"/>
  <c r="E19" i="4" s="1"/>
  <c r="D20" i="4"/>
  <c r="E20" i="4" s="1"/>
  <c r="D21" i="4"/>
  <c r="E21" i="4" s="1"/>
  <c r="D22" i="4"/>
  <c r="E22" i="4" s="1"/>
  <c r="D24" i="4"/>
  <c r="E24" i="4" s="1"/>
  <c r="D23" i="4"/>
  <c r="E23" i="4" s="1"/>
  <c r="D25" i="4"/>
  <c r="E25" i="4" s="1"/>
  <c r="D26" i="4"/>
  <c r="E26" i="4" s="1"/>
  <c r="D27" i="4"/>
  <c r="E27" i="4" s="1"/>
  <c r="C9" i="4"/>
  <c r="D9" i="4" s="1"/>
  <c r="E9" i="4" s="1"/>
  <c r="C10" i="4"/>
  <c r="D10" i="4" s="1"/>
  <c r="E10" i="4" s="1"/>
  <c r="C11" i="4"/>
  <c r="D11" i="4" s="1"/>
  <c r="E11" i="4" s="1"/>
  <c r="C12" i="4"/>
  <c r="D12" i="4" s="1"/>
  <c r="E12" i="4" s="1"/>
  <c r="C13" i="4"/>
  <c r="D13" i="4" s="1"/>
  <c r="E13" i="4" s="1"/>
  <c r="C14" i="4"/>
  <c r="D14" i="4" s="1"/>
  <c r="E14" i="4" s="1"/>
  <c r="C15" i="4"/>
  <c r="D15" i="4" s="1"/>
  <c r="E15" i="4" s="1"/>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5" i="2"/>
  <c r="B24" i="3"/>
  <c r="B23" i="3"/>
  <c r="B22" i="3"/>
  <c r="B19" i="3"/>
  <c r="B34" i="3" l="1"/>
  <c r="C34" i="3" s="1"/>
  <c r="B35" i="3"/>
  <c r="C35" i="3" s="1"/>
  <c r="B33" i="3"/>
  <c r="C33" i="3" s="1"/>
  <c r="B32" i="3"/>
  <c r="C32" i="3" s="1"/>
  <c r="B31" i="3"/>
  <c r="C31" i="3" s="1"/>
  <c r="B30" i="3"/>
  <c r="C30" i="3" s="1"/>
  <c r="B29" i="3"/>
  <c r="C29" i="3" s="1"/>
  <c r="B11" i="3"/>
  <c r="B13" i="3" s="1"/>
  <c r="B28" i="3"/>
  <c r="C28" i="3" s="1"/>
  <c r="A22" i="6" l="1"/>
  <c r="D6" i="4"/>
  <c r="E6" i="4" s="1"/>
  <c r="D7" i="4"/>
  <c r="E7" i="4" s="1"/>
  <c r="D8" i="4"/>
  <c r="E8" i="4" s="1"/>
  <c r="B12" i="3"/>
  <c r="A12" i="6"/>
  <c r="B14" i="3"/>
  <c r="A10" i="6"/>
  <c r="B15" i="3"/>
  <c r="A11" i="6" l="1"/>
</calcChain>
</file>

<file path=xl/sharedStrings.xml><?xml version="1.0" encoding="utf-8"?>
<sst xmlns="http://schemas.openxmlformats.org/spreadsheetml/2006/main" count="390" uniqueCount="273">
  <si>
    <t>ORRA FIELD READINESS TOOL – CLIENT USER GUIDE</t>
  </si>
  <si>
    <t>1. PURPOSE OF THE TOOL</t>
  </si>
  <si>
    <t>This tool helps you answer two key questions:</t>
  </si>
  <si>
    <t>What risk management capability do we have?</t>
  </si>
  <si>
    <t>Is that capability sufficient for our operating context?</t>
  </si>
  <si>
    <t>It does this by:</t>
  </si>
  <si>
    <t>Assessing your internal capability (theoretical readiness)</t>
  </si>
  <si>
    <t>Adjusting this based on your operating environment, activities, and operational complexity, to provide your actual readiness</t>
  </si>
  <si>
    <t>At the end, the tool provides:</t>
  </si>
  <si>
    <t>Spider chart</t>
  </si>
  <si>
    <t>An assessment of your actual readiness, tailored to your operating…</t>
  </si>
  <si>
    <t>Shows strengths and weaknesses across key areas.</t>
  </si>
  <si>
    <t>Your strengths and weakneses across key areas (XXXX)</t>
  </si>
  <si>
    <t>The distribution of maturity across your organisation (Governance, Risk, Security, Crisis, BCP, People, Operations, Assurance)</t>
  </si>
  <si>
    <t>Pie chart</t>
  </si>
  <si>
    <t>2. HOW TO USE THE TOOL</t>
  </si>
  <si>
    <t>Follow these steps in order.</t>
  </si>
  <si>
    <t>STEP 1 – ASSESSMENT</t>
  </si>
  <si>
    <t>Go to the Assessment tab.</t>
  </si>
  <si>
    <t>Answer each question based on current practice across your organisation.</t>
  </si>
  <si>
    <t>Select one of the following for each question:</t>
  </si>
  <si>
    <t>No / None = Not in place</t>
  </si>
  <si>
    <t>Ad hoc = Informal or inconsistent</t>
  </si>
  <si>
    <t>Partial = Some elements in place but gaps remain</t>
  </si>
  <si>
    <t>Formal = Defined and generally implemented</t>
  </si>
  <si>
    <t>Embedded = Fully integrated and consistently applied</t>
  </si>
  <si>
    <t>N/A = Not applicable</t>
  </si>
  <si>
    <t>Be realistic. Answer based on what actually happens, not intended practice.</t>
  </si>
  <si>
    <t>The tool averages all responses and converts the result into a percentage (0–100%).</t>
  </si>
  <si>
    <t>For example: Mostly “Formal” responses will result in a score of approximately 75%.</t>
  </si>
  <si>
    <t>STEP 2 – COUNTRY RISK</t>
  </si>
  <si>
    <t>Go to the Country Risk tab. This provides additional context for each country.</t>
  </si>
  <si>
    <t>It shows how prepared you are for specific locations but does not change your overall adjusted score.</t>
  </si>
  <si>
    <t>In column A, enter the list of countries in which you operate</t>
  </si>
  <si>
    <t>Your Maravi Consultant will complete the remainder of this tab, using our internal analysis and country risk tool</t>
  </si>
  <si>
    <t>The country risk scores will be shared with and explained to you</t>
  </si>
  <si>
    <t>This shows how prepared you are for each country, but does not change your overall score.</t>
  </si>
  <si>
    <t>STEP 3 – ACTIVITY AND OPERATIONAL EXPOSURE</t>
  </si>
  <si>
    <t>Go to the Activity Risk tab.</t>
  </si>
  <si>
    <t>In Column B, complete the following:</t>
  </si>
  <si>
    <t>High-risk activity: Select YES if your organisation undertakes higher-risk activities (e.g. enforcement, investigations, high-threat environments). Otherwise select NO.</t>
  </si>
  <si>
    <t>Operational footprint: Select one:</t>
  </si>
  <si>
    <t xml:space="preserve"> Single site</t>
  </si>
  <si>
    <t>Multiple sites (same country)</t>
  </si>
  <si>
    <t>Multi-country / remote operations</t>
  </si>
  <si>
    <t>STEP 4 – DASHBOARD</t>
  </si>
  <si>
    <t>Go to the Dashboard tab, which summarises your results and provides an overall interpretation.</t>
  </si>
  <si>
    <t>The dashboard includes:</t>
  </si>
  <si>
    <t>Theoretical Readiness Score</t>
  </si>
  <si>
    <t>This is expressed as a percentage, and determines your capability level, as shown below</t>
  </si>
  <si>
    <t>Theoretical Readiness Level</t>
  </si>
  <si>
    <t>Below 30% = Critical</t>
  </si>
  <si>
    <t>30–50% = Fragile</t>
  </si>
  <si>
    <t>50–70% = Developing</t>
  </si>
  <si>
    <t>70–85% = Operational</t>
  </si>
  <si>
    <t>Above 85% = Mature</t>
  </si>
  <si>
    <t>Actual  Readiness (your capability in context)</t>
  </si>
  <si>
    <t>Summary description</t>
  </si>
  <si>
    <t>Summary charts and tables</t>
  </si>
  <si>
    <t>STEP 5 - ACTING ON YOUR RESULTS????</t>
  </si>
  <si>
    <t xml:space="preserve">Review the identified priority areas and consider where strengthening capability will have the greatest impact. </t>
  </si>
  <si>
    <t xml:space="preserve">Focus on areas where systems are less developed or not consistently applied. </t>
  </si>
  <si>
    <t>The results should be used to support discussion, prioritisation, and planning of improvements.</t>
  </si>
  <si>
    <t>3. HOW SCORING WORKS</t>
  </si>
  <si>
    <r>
      <t>Theoretical Readiness shows what capability you have, suitable for a single-country, low risk activity</t>
    </r>
    <r>
      <rPr>
        <sz val="11"/>
        <color rgb="FFFF0000"/>
        <rFont val="Aptos Narrow"/>
        <family val="2"/>
      </rPr>
      <t>(, in a low risk country????)</t>
    </r>
  </si>
  <si>
    <t>Actual Readiness shows whether that capability is sufficient for your level of exposure to risk.</t>
  </si>
  <si>
    <t>Your exposure to risk increases with high risk activities, multi-country operations and operation in high risk countries</t>
  </si>
  <si>
    <t>Based on your answers in Steps 1, 2 and 3, we calculate your Actual Readiness</t>
  </si>
  <si>
    <r>
      <t>If the adjusted score is significantly lower than the theoretical scor</t>
    </r>
    <r>
      <rPr>
        <sz val="11"/>
        <color rgb="FFFF0000"/>
        <rFont val="Aptos Narrow"/>
        <family val="2"/>
      </rPr>
      <t>e, your Maravi consultant will advise on how to …XXXXX</t>
    </r>
  </si>
  <si>
    <r>
      <t xml:space="preserve">Your capability is adjusted based on your activities and operational complexity, </t>
    </r>
    <r>
      <rPr>
        <sz val="11"/>
        <color rgb="FFFF0000"/>
        <rFont val="Aptos Narrow"/>
        <family val="2"/>
      </rPr>
      <t>as these are key drivers of your exposure to risk</t>
    </r>
  </si>
  <si>
    <t>HIGH-RISK ACTIVITY: If high-risk activity is selected, the score is divided by 1.8.</t>
  </si>
  <si>
    <t>This reflects that high-risk activities require a significantly higher level of capability.</t>
  </si>
  <si>
    <t>OPERATIONAL COMPLEXITY: The number of countries is used as a proxy for complexity. This can be refined with your consultant later if e.g. there is significant complexity within a country operation</t>
  </si>
  <si>
    <t>Single site = no adjustment</t>
  </si>
  <si>
    <t>Multiple sites (same country) = score divided by 1.2</t>
  </si>
  <si>
    <t>Multi-country / remote operations = score divided by 1.4</t>
  </si>
  <si>
    <t>Adjusted Readiness =  Theoretical Readiness divided by (Activity multiplier × Complexity multiplier)</t>
  </si>
  <si>
    <t>Check at end</t>
  </si>
  <si>
    <t>Example:</t>
  </si>
  <si>
    <t>Theoretical Readiness = 75%; Level = Operational</t>
  </si>
  <si>
    <t>High-risk activity = Yes → divide by 1.8</t>
  </si>
  <si>
    <t>Multi-country operations → divide by 1.4</t>
  </si>
  <si>
    <t>Actual Readiness (adjusted for context) ≈ 30%; Level = Critical</t>
  </si>
  <si>
    <t>WHAT THIS MEANS</t>
  </si>
  <si>
    <t>It reflects that your operating environment and activities may require a higher level of readiness.</t>
  </si>
  <si>
    <t>Your consultant will advise what this means in practice: a policy gap, and implementation gap, a staffing gap etc</t>
  </si>
  <si>
    <t>4. IMPORTANT NOTES</t>
  </si>
  <si>
    <t>This tool will give you insight into: Are we good enough for what we are doing?</t>
  </si>
  <si>
    <r>
      <t>Be</t>
    </r>
    <r>
      <rPr>
        <b/>
        <sz val="11"/>
        <color theme="1"/>
        <rFont val="Aptos Narrow"/>
        <family val="2"/>
      </rPr>
      <t xml:space="preserve"> honest </t>
    </r>
    <r>
      <rPr>
        <sz val="11"/>
        <color theme="1"/>
        <rFont val="Aptos Narrow"/>
        <family val="2"/>
      </rPr>
      <t>in your responses. The tool is designed to reflect reality.</t>
    </r>
  </si>
  <si>
    <t>High-risk activities and complex operations increase what is required to operate safely.</t>
  </si>
  <si>
    <r>
      <t xml:space="preserve">This is </t>
    </r>
    <r>
      <rPr>
        <b/>
        <sz val="11"/>
        <color theme="1"/>
        <rFont val="Aptos Narrow"/>
        <family val="2"/>
      </rPr>
      <t>not a compliance tool.</t>
    </r>
    <r>
      <rPr>
        <sz val="11"/>
        <color theme="1"/>
        <rFont val="Aptos Narrow"/>
        <family val="2"/>
      </rPr>
      <t xml:space="preserve"> It is designed to support reflection and decision-making.</t>
    </r>
  </si>
  <si>
    <r>
      <t>The results should be used to</t>
    </r>
    <r>
      <rPr>
        <b/>
        <sz val="11"/>
        <color theme="1"/>
        <rFont val="Aptos Narrow"/>
        <family val="2"/>
      </rPr>
      <t xml:space="preserve"> identify areas for improvement and start discussion.</t>
    </r>
  </si>
  <si>
    <t>STEP 1: ASSESSMENT</t>
  </si>
  <si>
    <t>Select a response in column D for every question in Column C</t>
  </si>
  <si>
    <t>No.</t>
  </si>
  <si>
    <t>Section</t>
  </si>
  <si>
    <t>Question</t>
  </si>
  <si>
    <t>Response</t>
  </si>
  <si>
    <t>Score</t>
  </si>
  <si>
    <t>Governance</t>
  </si>
  <si>
    <t>How clearly defined is leadership accountability for risk, security, and crisis management?</t>
  </si>
  <si>
    <t>Assessment Response Guide</t>
  </si>
  <si>
    <t>To what extent is senior management actively engaged in risk and security oversight?</t>
  </si>
  <si>
    <t>Apply new labels</t>
  </si>
  <si>
    <t>Select the option that best reflects both:</t>
  </si>
  <si>
    <t>How well integrated are risk and security considerations into organisational decision-making?</t>
  </si>
  <si>
    <t>put definitions in a text box to view more easily</t>
  </si>
  <si>
    <t>Whether something is defined</t>
  </si>
  <si>
    <t>To what extent are roles and responsibilities for risk and security clearly defined across the organisation?</t>
  </si>
  <si>
    <t>Formal</t>
  </si>
  <si>
    <t>put block colours/ section more clearly to make easier to read through long list</t>
  </si>
  <si>
    <t>Whether it is implemented in practice</t>
  </si>
  <si>
    <t>How effectively are resources allocated to risk, security, and resilience functions?</t>
  </si>
  <si>
    <t>Risk</t>
  </si>
  <si>
    <t>How developed and consistently applied is your organisation-wide risk assessment process?</t>
  </si>
  <si>
    <t>No / None (0)</t>
  </si>
  <si>
    <t>How well defined and standardised is your risk assessment methodology?</t>
  </si>
  <si>
    <t>Not defined and not implemented</t>
  </si>
  <si>
    <t>How frequently are risk assessments conducted and updated?</t>
  </si>
  <si>
    <t>There is no clear structure, process, or approach in place</t>
  </si>
  <si>
    <t>How comprehensive and current is your risk register?</t>
  </si>
  <si>
    <t>To what extent is the risk register actively used in decision-making?</t>
  </si>
  <si>
    <t>Ad hoc (1)</t>
  </si>
  <si>
    <t>How clearly are risk owners assigned and held accountable?</t>
  </si>
  <si>
    <t>Not formally defined, but some informal or inconsistent practice exists</t>
  </si>
  <si>
    <t>How systematically are risks monitored and reviewed over time?</t>
  </si>
  <si>
    <t>Activities may happen, but they are not planned or reliable</t>
  </si>
  <si>
    <t>Security</t>
  </si>
  <si>
    <t>How comprehensive and implemented is your organisation-wide security policy?</t>
  </si>
  <si>
    <t>How well developed are country or site-specific security plans?</t>
  </si>
  <si>
    <t>Partial (2)</t>
  </si>
  <si>
    <t>How regularly are security plans reviewed and updated?</t>
  </si>
  <si>
    <t>Partially defined and partially implemented</t>
  </si>
  <si>
    <t>How effectively are security risks assessed at the field level?</t>
  </si>
  <si>
    <t>Some elements exist, but:</t>
  </si>
  <si>
    <t>How robust are access controls and physical security measures across locations?</t>
  </si>
  <si>
    <t>They are incomplete</t>
  </si>
  <si>
    <t>How developed are journey management procedures?</t>
  </si>
  <si>
    <t>No / None</t>
  </si>
  <si>
    <t>Not applied consistently</t>
  </si>
  <si>
    <t>How effective are communication systems for staff safety and security?</t>
  </si>
  <si>
    <t>Gaps remain in practice</t>
  </si>
  <si>
    <t>How well defined and understood are incident reporting procedures?</t>
  </si>
  <si>
    <t>How consistently are security incidents reported?</t>
  </si>
  <si>
    <t>Formal (3)</t>
  </si>
  <si>
    <t>How effectively are security incidents analysed and acted upon?</t>
  </si>
  <si>
    <t>Formally defined and partially implemented</t>
  </si>
  <si>
    <t>How effectively does the organisation monitor and adapt to changes in the operating environment and threat context?</t>
  </si>
  <si>
    <t>Processes, policies or structures are:</t>
  </si>
  <si>
    <t>Crisis</t>
  </si>
  <si>
    <t>How developed and operational is your crisis management framework (plans, structures, processes)?</t>
  </si>
  <si>
    <t>Clearly documented</t>
  </si>
  <si>
    <t>How clearly defined is your crisis management team structure?</t>
  </si>
  <si>
    <t>Communicated</t>
  </si>
  <si>
    <t>How well documented and understood are crisis roles and responsibilities?</t>
  </si>
  <si>
    <t>But:</t>
  </si>
  <si>
    <t>To what extent is a 24/7 escalation and decision-making structure in place?</t>
  </si>
  <si>
    <t>Not consistently applied across all areas</t>
  </si>
  <si>
    <t>How effective are crisis communications processes (internal and external)?</t>
  </si>
  <si>
    <t>Not fully embedded in practice</t>
  </si>
  <si>
    <t>How regularly are crisis management plans tested or exercised?</t>
  </si>
  <si>
    <t>How effectively are lessons from exercises incorporated into improvements?</t>
  </si>
  <si>
    <t>Embedded (4)</t>
  </si>
  <si>
    <t>How effective is decision-making during crisis situations, including clarity, speed, and authority?</t>
  </si>
  <si>
    <t>Formally defined and consistently implemented</t>
  </si>
  <si>
    <t>BCP</t>
  </si>
  <si>
    <t>How developed and operational is your business continuity planning framework?</t>
  </si>
  <si>
    <t>Processes are:</t>
  </si>
  <si>
    <t>How well identified are critical functions, dependencies and points of failure?</t>
  </si>
  <si>
    <t>Fully documented</t>
  </si>
  <si>
    <t>How clearly defined are recovery priorities and timelines?</t>
  </si>
  <si>
    <t>Fully operational</t>
  </si>
  <si>
    <t>How robust are recovery strategies for key operational disruptions?</t>
  </si>
  <si>
    <t>Applied consistently across the organisation</t>
  </si>
  <si>
    <t>How regularly is business continuity capability tested?</t>
  </si>
  <si>
    <t>Routinely used in decision-making</t>
  </si>
  <si>
    <t>How effectively are BCP lessons integrated into planning?</t>
  </si>
  <si>
    <t>People</t>
  </si>
  <si>
    <t>How systematically are staff trained in security awareness and field safety?</t>
  </si>
  <si>
    <t>How systematically are staff trained in first aid?</t>
  </si>
  <si>
    <t>How appropriate is training for different roles and risk exposure levels?</t>
  </si>
  <si>
    <t>How effectively are managers trained in crisis and incident response?</t>
  </si>
  <si>
    <t>How consistently is training refreshed or updated?</t>
  </si>
  <si>
    <t>How well prepared are staff for deployment into higher-risk environments?</t>
  </si>
  <si>
    <t>How well defined and implemented are duty of care and safeguarding responsibilities?</t>
  </si>
  <si>
    <t>Operations</t>
  </si>
  <si>
    <t>How comprehensive and consistently applied are standard operating procedures (SOPs)?</t>
  </si>
  <si>
    <t>How well are pre-deployment briefings conducted and tailored to context?</t>
  </si>
  <si>
    <t>How effectively are field activities supervised and managed?</t>
  </si>
  <si>
    <t>How consistent are operational practices across countries and sites?</t>
  </si>
  <si>
    <t>How well are remote or isolated work activities managed?</t>
  </si>
  <si>
    <t>How effectively are movement, transport, and logistics managed in higher-risk environments?</t>
  </si>
  <si>
    <t>Assurance</t>
  </si>
  <si>
    <t>How systematically are policies, plans, and procedures reviewed?</t>
  </si>
  <si>
    <t>How effectively are audits or internal reviews conducted?</t>
  </si>
  <si>
    <t>How well are lessons from incidents captured?</t>
  </si>
  <si>
    <t>How consistently are lessons learned integrated into practice?</t>
  </si>
  <si>
    <t>How effectively does the organisation adapt its systems based on emerging risks?</t>
  </si>
  <si>
    <t>STEP 2: COUNTRY RISK</t>
  </si>
  <si>
    <t>Complete column A, with the names of each country you work in. Use a new row/cell for each country.</t>
  </si>
  <si>
    <t>Your Maravi Consultant will complete the remainder of this tab.</t>
  </si>
  <si>
    <t>Country</t>
  </si>
  <si>
    <t>Risk Level</t>
  </si>
  <si>
    <t>Multiplier</t>
  </si>
  <si>
    <t>Adjusted Readiness</t>
  </si>
  <si>
    <t>Status</t>
  </si>
  <si>
    <t>malawi</t>
  </si>
  <si>
    <t>STEP3: ACTIVITY AND OPERATIONAL EXPOSURE</t>
  </si>
  <si>
    <t>Provide your answers in column B.</t>
  </si>
  <si>
    <t>Activity &amp; Operational Exposure</t>
  </si>
  <si>
    <t>Client Response</t>
  </si>
  <si>
    <r>
      <t xml:space="preserve">Does your organisation undertake high-risk activities?
</t>
    </r>
    <r>
      <rPr>
        <sz val="11"/>
        <color rgb="FF002A41"/>
        <rFont val="Aptos Narrow"/>
        <family val="2"/>
      </rPr>
      <t>High-risk activities include work in high-threat environments, enforcement or investigation activities, or operations where staff are exposed to significant security, safety, travel or reputational risks.</t>
    </r>
  </si>
  <si>
    <r>
      <t xml:space="preserve">How complex is your operational footprint?
</t>
    </r>
    <r>
      <rPr>
        <sz val="11"/>
        <color rgb="FF002A41"/>
        <rFont val="Aptos Narrow"/>
        <family val="2"/>
      </rPr>
      <t>This reflects how widely and complexly your operations are delivered. 
   Single site: One primary operational location  
   Multiple sites: Several locations within one country 
   Multi-country / remote operations: Activities across multiple countries or remotely managed team</t>
    </r>
    <r>
      <rPr>
        <b/>
        <sz val="11"/>
        <color rgb="FF002A41"/>
        <rFont val="Aptos Narrow"/>
        <family val="2"/>
      </rPr>
      <t>s</t>
    </r>
  </si>
  <si>
    <t>Exposure Adjustment Factor</t>
  </si>
  <si>
    <t>STEP 4: DASHBOARD (RESULTS)</t>
  </si>
  <si>
    <t>You do not need to input any information here. This dashboard provides an initial analysis of your responses.</t>
  </si>
  <si>
    <t>Adjusted readiness reflects both organisational capability and operating context. Activity risk, operational complexity, and country risk should be defined through informed judgement and in consultation with Maravi, using its proprietry country risk evaluation tool.</t>
  </si>
  <si>
    <t>Adjusted readiness reflects operating environment, activity exposure, and operational complexity. Adjusted readiness reflects the demands of higher-risk activities and operational complexity, which increase the level of capability required.</t>
  </si>
  <si>
    <t>add here space for country risk and activity risk with explanation that it's done in conslutation with maravi</t>
  </si>
  <si>
    <t>For client: user guide, assessment, and dashboard</t>
  </si>
  <si>
    <t>CHARTS (they should also be shown as tables)</t>
  </si>
  <si>
    <t>We need to go through this page carefully and check graphs match tables. The section scores tab has now been deleted and incorporated here. Need to check graphs are reading from right places and displayed next to right tables</t>
  </si>
  <si>
    <t>Key Metrics</t>
  </si>
  <si>
    <t>Result</t>
  </si>
  <si>
    <t>Explanation</t>
  </si>
  <si>
    <t>Actual Readiness Level (adjusted for context: see below)</t>
  </si>
  <si>
    <t>Count of questionnaire responses</t>
  </si>
  <si>
    <t>Count</t>
  </si>
  <si>
    <t>Ad hoc</t>
  </si>
  <si>
    <t>Partial</t>
  </si>
  <si>
    <t>Embedded</t>
  </si>
  <si>
    <t>N/A</t>
  </si>
  <si>
    <t>Priority</t>
  </si>
  <si>
    <t>STEP 5: ACTING ON YOUR RESULTS</t>
  </si>
  <si>
    <t>Next Steps</t>
  </si>
  <si>
    <t>The priority areas identified above indicate where strengthening efforts should be focused in order to align capability with operational demands.
Next steps should involve reviewing these areas in more detail in conjcuntion with Maravi and determining where improvements will have the greatest impact on operational readiness.
This may include clarifying roles and responsibilities, strengthening processes, increasing consistency of implementation, and ensuring systems are appropriately scaled to the organisation’s operating environment.
The results of this assessment are intended to support informed decision-making and can be used as the basis for further planning and capability development.</t>
  </si>
  <si>
    <t>Can put put a calendar link / email/ tel in here? Something to make it more actionable?</t>
  </si>
  <si>
    <t>Is this one not for clients initially? They only get the dashboard?</t>
  </si>
  <si>
    <t>Done this bit really quickly. Needs more tidying (I've mostly deleted repetition) but it also needs to mention the areas (governance, people etc) and maturity levels. Those get forgotten a lot</t>
  </si>
  <si>
    <t>Executive Sumary</t>
  </si>
  <si>
    <t xml:space="preserve">What Your Score Means </t>
  </si>
  <si>
    <t>A significant difference between base and adjusted readiness typically indicates that the level of operational exposure exceeds current organisational capability. This does not necessarily indicate weak systems, but rather that the demands of the operating context are higher than those systems are currently designed to support.</t>
  </si>
  <si>
    <t>The adjusted readiness score reflects the demands of your operating environment, including the nature of your activities and the complexity of your operational footprint. Higher-risk activities and more complex or distributed operations increase the level of capability required to operate effectively and safely.</t>
  </si>
  <si>
    <t>Using Your Results: Priority Areas</t>
  </si>
  <si>
    <t>The results should be used to identify gaps between current capability and operational requirements. Particular attention should be given to areas where capability is less developed or where systems are not consistently applied across the organisation.</t>
  </si>
  <si>
    <t>Strengthen leadership accountability and oversight</t>
  </si>
  <si>
    <t>Formalise and consistently apply risk assessment processes</t>
  </si>
  <si>
    <t>Strengthen security planning and incident reporting</t>
  </si>
  <si>
    <t>Establish and test crisis management capability</t>
  </si>
  <si>
    <t>Develop business continuity planning and recovery capability</t>
  </si>
  <si>
    <t>Improve staff training and preparedness for higher-risk environments</t>
  </si>
  <si>
    <t>Standardise operational processes and strengthen supervision</t>
  </si>
  <si>
    <t>Strengthen review processes and integration of lessons learned</t>
  </si>
  <si>
    <t>These were the options for "High", but there were no options for the other levels</t>
  </si>
  <si>
    <t>NEED TO SORT Maturity and Capabilities harts when I have more copilot credit</t>
  </si>
  <si>
    <t xml:space="preserve">WE NEED TO CHANGE THIS WHEN WE WANT IT TO ADJUST THE SCORE? </t>
  </si>
  <si>
    <t>Decision - take out country risk multiplier and insert explanatory note in Dashboard (and acting on results?) re "you are operting in xx high risk countries…</t>
  </si>
  <si>
    <t>redo table for decision on user guide tab</t>
  </si>
  <si>
    <t>update this guidance here</t>
  </si>
  <si>
    <t>expand on these definitions (Theoretical readiness &amp; actual readiness)</t>
  </si>
  <si>
    <t>THIS SECTION NEEDS TO ADDRESS STRENGTHS AND WEAKNESSES AND MATURITY IN KEY AREAS (GOVERNANCE ++) - Introduce maturity, capability etc (see dashboard language)</t>
  </si>
  <si>
    <t>Justify the 1.8 - Take out all calculation</t>
  </si>
  <si>
    <t>Justify the 1.2 - See above</t>
  </si>
  <si>
    <t>Justify the 1.4 - See above</t>
  </si>
  <si>
    <t>If the adjustments results in your score 'dropping', this does not mean your organisation is weaker.</t>
  </si>
  <si>
    <r>
      <t xml:space="preserve">ADJUSTMENTS - </t>
    </r>
    <r>
      <rPr>
        <b/>
        <u/>
        <sz val="11"/>
        <color rgb="FFFF0000"/>
        <rFont val="Aptos Narrow"/>
      </rPr>
      <t>take out any reference to calculations</t>
    </r>
  </si>
  <si>
    <t>still needs branding colours and logo when finalised on every page</t>
  </si>
  <si>
    <t>Extand table</t>
  </si>
  <si>
    <t>Yes</t>
  </si>
  <si>
    <t>Impact</t>
  </si>
  <si>
    <t>Severe</t>
  </si>
  <si>
    <t>Mac country impact:</t>
  </si>
  <si>
    <t>Actual Readiness (adjusted for adjusted for activity, complexity, and country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</si>
</sst>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1"/>
      <color rgb="FF002A41"/>
      <name val="Aptos Narrow"/>
      <family val="2"/>
    </font>
    <font>
      <sz val="11"/>
      <color theme="1"/>
      <name val="Aptos Narrow"/>
      <family val="2"/>
    </font>
    <font>
      <sz val="11"/>
      <color rgb="FFFF0000"/>
      <name val="Aptos Narrow"/>
      <family val="2"/>
    </font>
    <font>
      <sz val="11"/>
      <color rgb="FF002A41"/>
      <name val="Aptos Narrow"/>
      <family val="2"/>
    </font>
    <font>
      <b/>
      <u/>
      <sz val="11"/>
      <color rgb="FF002A41"/>
      <name val="Aptos Narrow"/>
      <family val="2"/>
    </font>
    <font>
      <b/>
      <u/>
      <sz val="11"/>
      <color rgb="FFFF0000"/>
      <name val="Aptos Narrow"/>
      <family val="2"/>
    </font>
    <font>
      <b/>
      <u/>
      <sz val="11"/>
      <color theme="8" tint="-0.499984740745262"/>
      <name val="Aptos Narrow"/>
      <family val="2"/>
    </font>
    <font>
      <b/>
      <sz val="11"/>
      <color rgb="FFFF0000"/>
      <name val="Aptos Narrow"/>
      <family val="2"/>
    </font>
    <font>
      <b/>
      <u/>
      <sz val="11"/>
      <color theme="1"/>
      <name val="Aptos Narrow"/>
      <family val="2"/>
    </font>
    <font>
      <b/>
      <sz val="11"/>
      <color theme="1"/>
      <name val="Aptos Narrow"/>
      <family val="2"/>
    </font>
    <font>
      <b/>
      <u/>
      <sz val="14"/>
      <color rgb="FF1E5A9F"/>
      <name val="Aptos Narrow"/>
      <family val="2"/>
    </font>
    <font>
      <b/>
      <sz val="11"/>
      <color rgb="FF1E5A9F"/>
      <name val="Aptos Narrow"/>
      <family val="2"/>
    </font>
    <font>
      <b/>
      <sz val="11"/>
      <color rgb="FF34BFD8"/>
      <name val="Aptos Narrow"/>
      <family val="2"/>
    </font>
    <font>
      <sz val="11"/>
      <color rgb="FF1E5A9F"/>
      <name val="Aptos Narrow"/>
      <family val="2"/>
    </font>
    <font>
      <b/>
      <sz val="11"/>
      <color theme="8" tint="-0.499984740745262"/>
      <name val="Aptos Narrow"/>
      <family val="2"/>
    </font>
    <font>
      <b/>
      <sz val="14"/>
      <color rgb="FF1E5A9F"/>
      <name val="Aptos Narrow"/>
      <family val="2"/>
    </font>
    <font>
      <sz val="11"/>
      <color theme="1"/>
      <name val="Aptos Narrow"/>
    </font>
    <font>
      <sz val="11"/>
      <color rgb="FF002A41"/>
      <name val="Aptos Narrow"/>
    </font>
    <font>
      <b/>
      <sz val="11"/>
      <color rgb="FF34BFD8"/>
      <name val="Aptos Narrow"/>
    </font>
    <font>
      <b/>
      <u/>
      <sz val="14"/>
      <color rgb="FF1E5A9F"/>
      <name val="Aptos Narrow"/>
    </font>
    <font>
      <sz val="11"/>
      <color rgb="FFFF0000"/>
      <name val="Calibri"/>
      <family val="2"/>
      <scheme val="minor"/>
    </font>
    <font>
      <b/>
      <u/>
      <sz val="14"/>
      <color rgb="FF1E5AA0"/>
      <name val="Aptos Narrow"/>
      <family val="2"/>
    </font>
    <font>
      <b/>
      <sz val="14"/>
      <color rgb="FF1E5AA0"/>
      <name val="Aptos Narrow"/>
      <family val="2"/>
    </font>
    <font>
      <b/>
      <u/>
      <sz val="11"/>
      <color rgb="FFFF0000"/>
      <name val="Aptos Narrow"/>
    </font>
  </fonts>
  <fills count="7">
    <fill>
      <patternFill patternType="none"/>
    </fill>
    <fill>
      <patternFill patternType="gray125"/>
    </fill>
    <fill>
      <patternFill patternType="solid">
        <fgColor rgb="FFFFFF00"/>
        <bgColor indexed="64"/>
      </patternFill>
    </fill>
    <fill>
      <patternFill patternType="solid">
        <fgColor rgb="FF1E5A9F"/>
        <bgColor indexed="64"/>
      </patternFill>
    </fill>
    <fill>
      <patternFill patternType="solid">
        <fgColor rgb="FFBCD6F2"/>
        <bgColor indexed="64"/>
      </patternFill>
    </fill>
    <fill>
      <patternFill patternType="solid">
        <fgColor theme="0"/>
        <bgColor indexed="64"/>
      </patternFill>
    </fill>
    <fill>
      <patternFill patternType="solid">
        <fgColor rgb="FFFFC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72">
    <xf numFmtId="0" fontId="0" fillId="0" borderId="0" xfId="0"/>
    <xf numFmtId="0" fontId="2" fillId="0" borderId="0" xfId="0" applyFont="1"/>
    <xf numFmtId="0" fontId="3" fillId="0" borderId="0" xfId="0" applyFont="1"/>
    <xf numFmtId="0" fontId="4" fillId="0" borderId="0" xfId="0" applyFont="1"/>
    <xf numFmtId="0" fontId="1" fillId="0" borderId="0" xfId="0" applyFont="1"/>
    <xf numFmtId="0" fontId="3" fillId="2" borderId="0" xfId="0" applyFont="1" applyFill="1"/>
    <xf numFmtId="0" fontId="5" fillId="0" borderId="0" xfId="0" applyFont="1"/>
    <xf numFmtId="0" fontId="2" fillId="2" borderId="0" xfId="0" applyFont="1" applyFill="1"/>
    <xf numFmtId="0" fontId="4" fillId="2" borderId="0" xfId="0" applyFont="1" applyFill="1"/>
    <xf numFmtId="0" fontId="6" fillId="0" borderId="0" xfId="0" applyFont="1"/>
    <xf numFmtId="0" fontId="7" fillId="0" borderId="0" xfId="0" applyFont="1"/>
    <xf numFmtId="0" fontId="8" fillId="2" borderId="4" xfId="0" applyFont="1" applyFill="1" applyBorder="1"/>
    <xf numFmtId="0" fontId="2" fillId="0" borderId="5" xfId="0" applyFont="1" applyBorder="1"/>
    <xf numFmtId="0" fontId="2" fillId="0" borderId="6" xfId="0" applyFont="1" applyBorder="1"/>
    <xf numFmtId="0" fontId="9" fillId="0" borderId="0" xfId="0" applyFont="1"/>
    <xf numFmtId="0" fontId="2" fillId="0" borderId="0" xfId="0" applyFont="1" applyAlignment="1">
      <alignment wrapText="1"/>
    </xf>
    <xf numFmtId="0" fontId="11" fillId="0" borderId="0" xfId="0" applyFont="1" applyAlignment="1">
      <alignment horizontal="left"/>
    </xf>
    <xf numFmtId="0" fontId="12" fillId="0" borderId="0" xfId="0" applyFont="1" applyAlignment="1">
      <alignment wrapText="1"/>
    </xf>
    <xf numFmtId="0" fontId="4" fillId="0" borderId="0" xfId="0" applyFont="1" applyAlignment="1">
      <alignment wrapText="1"/>
    </xf>
    <xf numFmtId="0" fontId="1" fillId="0" borderId="0" xfId="0" applyFont="1" applyAlignment="1">
      <alignment wrapText="1"/>
    </xf>
    <xf numFmtId="0" fontId="3" fillId="0" borderId="0" xfId="0" applyFont="1" applyAlignment="1">
      <alignment vertical="top" wrapText="1"/>
    </xf>
    <xf numFmtId="0" fontId="3" fillId="0" borderId="0" xfId="0" applyFont="1" applyAlignment="1">
      <alignment vertical="top"/>
    </xf>
    <xf numFmtId="0" fontId="13" fillId="3" borderId="1" xfId="0" applyFont="1" applyFill="1" applyBorder="1" applyAlignment="1">
      <alignment horizontal="center"/>
    </xf>
    <xf numFmtId="0" fontId="4" fillId="0" borderId="0" xfId="0" applyFont="1" applyAlignment="1">
      <alignment vertical="top"/>
    </xf>
    <xf numFmtId="0" fontId="1" fillId="0" borderId="1" xfId="0" applyFont="1" applyBorder="1" applyAlignment="1">
      <alignment vertical="top"/>
    </xf>
    <xf numFmtId="9" fontId="1" fillId="0" borderId="1" xfId="0" applyNumberFormat="1" applyFont="1" applyBorder="1" applyAlignment="1">
      <alignment horizontal="center" vertical="top"/>
    </xf>
    <xf numFmtId="0" fontId="4" fillId="2" borderId="1" xfId="0" applyFont="1" applyFill="1" applyBorder="1" applyAlignment="1">
      <alignment vertical="top"/>
    </xf>
    <xf numFmtId="0" fontId="1" fillId="0" borderId="1" xfId="0" applyFont="1" applyBorder="1" applyAlignment="1">
      <alignment horizontal="center" vertical="top"/>
    </xf>
    <xf numFmtId="0" fontId="4" fillId="0" borderId="0" xfId="0" applyFont="1" applyAlignment="1">
      <alignment vertical="top" wrapText="1"/>
    </xf>
    <xf numFmtId="0" fontId="1" fillId="2" borderId="1" xfId="0" applyFont="1" applyFill="1" applyBorder="1" applyAlignment="1">
      <alignment vertical="top"/>
    </xf>
    <xf numFmtId="0" fontId="4" fillId="0" borderId="1" xfId="0" applyFont="1" applyBorder="1" applyAlignment="1">
      <alignment vertical="top"/>
    </xf>
    <xf numFmtId="0" fontId="4" fillId="0" borderId="0" xfId="0" applyFont="1" applyAlignment="1">
      <alignment horizontal="right" vertical="top"/>
    </xf>
    <xf numFmtId="0" fontId="14" fillId="0" borderId="0" xfId="0" applyFont="1"/>
    <xf numFmtId="0" fontId="2" fillId="0" borderId="0" xfId="0" applyFont="1" applyAlignment="1">
      <alignment vertical="top"/>
    </xf>
    <xf numFmtId="0" fontId="15" fillId="0" borderId="7" xfId="0" applyFont="1" applyBorder="1" applyAlignment="1">
      <alignment horizontal="left" vertical="top"/>
    </xf>
    <xf numFmtId="0" fontId="15" fillId="0" borderId="8" xfId="0" applyFont="1" applyBorder="1" applyAlignment="1">
      <alignment horizontal="left" vertical="top"/>
    </xf>
    <xf numFmtId="0" fontId="15" fillId="0" borderId="9" xfId="0" applyFont="1" applyBorder="1" applyAlignment="1">
      <alignment horizontal="left" vertical="top"/>
    </xf>
    <xf numFmtId="0" fontId="1" fillId="0" borderId="1" xfId="0" applyFont="1" applyBorder="1" applyAlignment="1">
      <alignment vertical="top" wrapText="1"/>
    </xf>
    <xf numFmtId="0" fontId="4" fillId="0" borderId="1" xfId="0" applyFont="1" applyBorder="1" applyAlignment="1">
      <alignment horizontal="center" vertical="top" wrapText="1"/>
    </xf>
    <xf numFmtId="0" fontId="4" fillId="0" borderId="0" xfId="0" applyFont="1" applyAlignment="1">
      <alignment horizontal="center" vertical="top"/>
    </xf>
    <xf numFmtId="0" fontId="2" fillId="0" borderId="0" xfId="0" applyFont="1" applyAlignment="1">
      <alignment horizontal="center" vertical="top"/>
    </xf>
    <xf numFmtId="0" fontId="12" fillId="0" borderId="0" xfId="0" applyFont="1" applyAlignment="1">
      <alignment vertical="top"/>
    </xf>
    <xf numFmtId="0" fontId="15" fillId="0" borderId="0" xfId="0" applyFont="1" applyAlignment="1">
      <alignment vertical="top"/>
    </xf>
    <xf numFmtId="0" fontId="4" fillId="4" borderId="1" xfId="0" applyFont="1" applyFill="1" applyBorder="1"/>
    <xf numFmtId="0" fontId="4" fillId="0" borderId="1" xfId="0" applyFont="1" applyBorder="1"/>
    <xf numFmtId="10" fontId="4" fillId="0" borderId="1" xfId="0" applyNumberFormat="1" applyFont="1" applyBorder="1"/>
    <xf numFmtId="10" fontId="2" fillId="0" borderId="0" xfId="0" applyNumberFormat="1" applyFont="1"/>
    <xf numFmtId="0" fontId="16" fillId="0" borderId="0" xfId="0" applyFont="1" applyAlignment="1">
      <alignment horizontal="left"/>
    </xf>
    <xf numFmtId="0" fontId="13" fillId="3" borderId="1" xfId="0" applyFont="1" applyFill="1" applyBorder="1" applyAlignment="1">
      <alignment horizontal="left"/>
    </xf>
    <xf numFmtId="0" fontId="4" fillId="0" borderId="1" xfId="0" applyFont="1" applyBorder="1" applyAlignment="1">
      <alignment horizontal="left"/>
    </xf>
    <xf numFmtId="0" fontId="4" fillId="5" borderId="1" xfId="0" applyFont="1" applyFill="1" applyBorder="1"/>
    <xf numFmtId="0" fontId="4" fillId="4" borderId="1" xfId="0" applyFont="1" applyFill="1" applyBorder="1" applyAlignment="1">
      <alignment horizontal="left"/>
    </xf>
    <xf numFmtId="0" fontId="4" fillId="0" borderId="0" xfId="0" applyFont="1" applyAlignment="1">
      <alignment horizontal="left"/>
    </xf>
    <xf numFmtId="0" fontId="18" fillId="0" borderId="0" xfId="0" applyFont="1" applyAlignment="1">
      <alignment vertical="top"/>
    </xf>
    <xf numFmtId="1" fontId="18" fillId="0" borderId="0" xfId="0" applyNumberFormat="1" applyFont="1" applyAlignment="1">
      <alignment vertical="top"/>
    </xf>
    <xf numFmtId="0" fontId="19" fillId="3" borderId="1" xfId="0" applyFont="1" applyFill="1" applyBorder="1" applyAlignment="1">
      <alignment horizontal="center"/>
    </xf>
    <xf numFmtId="0" fontId="17" fillId="0" borderId="1" xfId="0" applyFont="1" applyBorder="1"/>
    <xf numFmtId="0" fontId="18" fillId="0" borderId="0" xfId="0" applyFont="1" applyAlignment="1">
      <alignment horizontal="right" vertical="top"/>
    </xf>
    <xf numFmtId="0" fontId="17" fillId="0" borderId="0" xfId="0" applyFont="1" applyAlignment="1">
      <alignment wrapText="1"/>
    </xf>
    <xf numFmtId="0" fontId="20" fillId="0" borderId="0" xfId="0" applyFont="1" applyAlignment="1">
      <alignment horizontal="left"/>
    </xf>
    <xf numFmtId="0" fontId="8" fillId="0" borderId="0" xfId="0" applyFont="1" applyAlignment="1">
      <alignment horizontal="left" vertical="top"/>
    </xf>
    <xf numFmtId="0" fontId="4" fillId="6" borderId="0" xfId="0" applyFont="1" applyFill="1" applyAlignment="1">
      <alignment wrapText="1"/>
    </xf>
    <xf numFmtId="0" fontId="21" fillId="0" borderId="0" xfId="0" applyFont="1"/>
    <xf numFmtId="0" fontId="3" fillId="6" borderId="0" xfId="0" applyFont="1" applyFill="1" applyAlignment="1">
      <alignment vertical="top"/>
    </xf>
    <xf numFmtId="1" fontId="17" fillId="0" borderId="1" xfId="0" applyNumberFormat="1" applyFont="1" applyBorder="1" applyAlignment="1">
      <alignment horizontal="center"/>
    </xf>
    <xf numFmtId="0" fontId="4" fillId="0" borderId="1" xfId="0" applyFont="1" applyBorder="1" applyAlignment="1">
      <alignment horizontal="center" vertical="top"/>
    </xf>
    <xf numFmtId="0" fontId="1" fillId="0" borderId="2" xfId="0" applyFont="1" applyBorder="1" applyAlignment="1">
      <alignment horizontal="right" vertical="top"/>
    </xf>
    <xf numFmtId="0" fontId="1" fillId="0" borderId="3" xfId="0" applyFont="1" applyBorder="1" applyAlignment="1">
      <alignment horizontal="right" vertical="top"/>
    </xf>
    <xf numFmtId="0" fontId="12" fillId="0" borderId="0" xfId="0" applyFont="1" applyAlignment="1">
      <alignment horizontal="left" vertical="top"/>
    </xf>
    <xf numFmtId="0" fontId="22" fillId="0" borderId="0" xfId="0" applyFont="1" applyAlignment="1">
      <alignment horizontal="left"/>
    </xf>
    <xf numFmtId="0" fontId="23" fillId="0" borderId="0" xfId="0" applyFont="1" applyAlignment="1">
      <alignment horizontal="center"/>
    </xf>
    <xf numFmtId="0" fontId="13" fillId="3" borderId="0" xfId="0" applyFont="1" applyFill="1" applyBorder="1" applyAlignment="1">
      <alignment horizontal="center"/>
    </xf>
  </cellXfs>
  <cellStyles count="1">
    <cellStyle name="Normal" xfId="0" builtinId="0"/>
  </cellStyles>
  <dxfs count="8">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2A41"/>
      </font>
      <fill>
        <patternFill patternType="solid">
          <bgColor rgb="FFFF0000"/>
        </patternFill>
      </fill>
    </dxf>
    <dxf>
      <font>
        <color rgb="FF9C0006"/>
      </font>
      <fill>
        <patternFill>
          <bgColor rgb="FFFFC7CE"/>
        </patternFill>
      </fill>
    </dxf>
    <dxf>
      <font>
        <color rgb="FF002A41"/>
      </font>
      <fill>
        <patternFill patternType="solid">
          <bgColor rgb="FFFFEB9C"/>
        </patternFill>
      </fill>
    </dxf>
    <dxf>
      <font>
        <color rgb="FF006100"/>
      </font>
      <fill>
        <patternFill>
          <bgColor rgb="FFC6EFCE"/>
        </patternFill>
      </fill>
    </dxf>
    <dxf>
      <font>
        <color rgb="FF002A41"/>
      </font>
      <fill>
        <patternFill patternType="solid">
          <bgColor rgb="FF34BFD8"/>
        </patternFill>
      </fill>
    </dxf>
  </dxfs>
  <tableStyles count="0" defaultTableStyle="TableStyleMedium9" defaultPivotStyle="PivotStyleLight16"/>
  <colors>
    <mruColors>
      <color rgb="FF1E5AA0"/>
      <color rgb="FF002A41"/>
      <color rgb="FF1E5A9F"/>
      <color rgb="FF34BFD8"/>
      <color rgb="FFBCD6F2"/>
      <color rgb="FF00B008"/>
      <color rgb="FF00B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E5A9F"/>
                </a:solidFill>
                <a:latin typeface="+mn-lt"/>
                <a:ea typeface="+mn-ea"/>
                <a:cs typeface="+mn-cs"/>
              </a:defRPr>
            </a:pPr>
            <a:r>
              <a:rPr lang="en-US" b="1">
                <a:solidFill>
                  <a:srgbClr val="1E5A9F"/>
                </a:solidFill>
              </a:rPr>
              <a:t>Questionnaire responses</a:t>
            </a:r>
          </a:p>
        </c:rich>
      </c:tx>
      <c:layout>
        <c:manualLayout>
          <c:xMode val="edge"/>
          <c:yMode val="edge"/>
          <c:x val="1.1591210302059413E-2"/>
          <c:y val="4.0862658994353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1E5A9F"/>
              </a:solidFill>
              <a:latin typeface="+mn-lt"/>
              <a:ea typeface="+mn-ea"/>
              <a:cs typeface="+mn-cs"/>
            </a:defRPr>
          </a:pPr>
          <a:endParaRPr lang="en-US"/>
        </a:p>
      </c:txPr>
    </c:title>
    <c:autoTitleDeleted val="0"/>
    <c:plotArea>
      <c:layout/>
      <c:barChart>
        <c:barDir val="bar"/>
        <c:grouping val="clustered"/>
        <c:varyColors val="0"/>
        <c:ser>
          <c:idx val="0"/>
          <c:order val="0"/>
          <c:tx>
            <c:strRef>
              <c:f>'Step4. Dashboard'!$B$18</c:f>
              <c:strCache>
                <c:ptCount val="1"/>
                <c:pt idx="0">
                  <c:v>Count</c:v>
                </c:pt>
              </c:strCache>
            </c:strRef>
          </c:tx>
          <c:spPr>
            <a:solidFill>
              <a:schemeClr val="accent1"/>
            </a:solidFill>
            <a:ln>
              <a:noFill/>
            </a:ln>
            <a:effectLst/>
          </c:spPr>
          <c:invertIfNegative val="0"/>
          <c:dPt>
            <c:idx val="0"/>
            <c:invertIfNegative val="0"/>
            <c:bubble3D val="0"/>
            <c:spPr>
              <a:solidFill>
                <a:srgbClr val="D71920"/>
              </a:solidFill>
              <a:ln>
                <a:noFill/>
              </a:ln>
              <a:effectLst/>
            </c:spPr>
            <c:extLst>
              <c:ext xmlns:c16="http://schemas.microsoft.com/office/drawing/2014/chart" uri="{C3380CC4-5D6E-409C-BE32-E72D297353CC}">
                <c16:uniqueId val="{00000001-B52B-458C-8D6F-A58A9465BB8E}"/>
              </c:ext>
            </c:extLst>
          </c:dPt>
          <c:dPt>
            <c:idx val="1"/>
            <c:invertIfNegative val="0"/>
            <c:bubble3D val="0"/>
            <c:spPr>
              <a:solidFill>
                <a:srgbClr val="E85C4A"/>
              </a:solidFill>
              <a:ln>
                <a:noFill/>
              </a:ln>
              <a:effectLst/>
            </c:spPr>
            <c:extLst>
              <c:ext xmlns:c16="http://schemas.microsoft.com/office/drawing/2014/chart" uri="{C3380CC4-5D6E-409C-BE32-E72D297353CC}">
                <c16:uniqueId val="{00000002-B52B-458C-8D6F-A58A9465BB8E}"/>
              </c:ext>
            </c:extLst>
          </c:dPt>
          <c:dPt>
            <c:idx val="2"/>
            <c:invertIfNegative val="0"/>
            <c:bubble3D val="0"/>
            <c:spPr>
              <a:solidFill>
                <a:srgbClr val="9A6F8F"/>
              </a:solidFill>
              <a:ln>
                <a:noFill/>
              </a:ln>
              <a:effectLst/>
            </c:spPr>
            <c:extLst>
              <c:ext xmlns:c16="http://schemas.microsoft.com/office/drawing/2014/chart" uri="{C3380CC4-5D6E-409C-BE32-E72D297353CC}">
                <c16:uniqueId val="{00000003-B52B-458C-8D6F-A58A9465BB8E}"/>
              </c:ext>
            </c:extLst>
          </c:dPt>
          <c:dPt>
            <c:idx val="3"/>
            <c:invertIfNegative val="0"/>
            <c:bubble3D val="0"/>
            <c:spPr>
              <a:solidFill>
                <a:srgbClr val="4E80C4"/>
              </a:solidFill>
              <a:ln>
                <a:noFill/>
              </a:ln>
              <a:effectLst/>
            </c:spPr>
            <c:extLst>
              <c:ext xmlns:c16="http://schemas.microsoft.com/office/drawing/2014/chart" uri="{C3380CC4-5D6E-409C-BE32-E72D297353CC}">
                <c16:uniqueId val="{00000004-B52B-458C-8D6F-A58A9465BB8E}"/>
              </c:ext>
            </c:extLst>
          </c:dPt>
          <c:dPt>
            <c:idx val="4"/>
            <c:invertIfNegative val="0"/>
            <c:bubble3D val="0"/>
            <c:spPr>
              <a:solidFill>
                <a:srgbClr val="1F77B4"/>
              </a:solidFill>
              <a:ln>
                <a:noFill/>
              </a:ln>
              <a:effectLst/>
            </c:spPr>
            <c:extLst>
              <c:ext xmlns:c16="http://schemas.microsoft.com/office/drawing/2014/chart" uri="{C3380CC4-5D6E-409C-BE32-E72D297353CC}">
                <c16:uniqueId val="{00000005-B52B-458C-8D6F-A58A9465BB8E}"/>
              </c:ext>
            </c:extLst>
          </c:dPt>
          <c:dPt>
            <c:idx val="5"/>
            <c:invertIfNegative val="0"/>
            <c:bubble3D val="0"/>
            <c:spPr>
              <a:solidFill>
                <a:srgbClr val="BFBFBF"/>
              </a:solidFill>
              <a:ln>
                <a:noFill/>
              </a:ln>
              <a:effectLst/>
            </c:spPr>
            <c:extLst>
              <c:ext xmlns:c16="http://schemas.microsoft.com/office/drawing/2014/chart" uri="{C3380CC4-5D6E-409C-BE32-E72D297353CC}">
                <c16:uniqueId val="{00000006-B52B-458C-8D6F-A58A9465BB8E}"/>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'Step4. Dashboard'!$A$19:$A$24</c:f>
              <c:strCache>
                <c:ptCount val="6"/>
                <c:pt idx="0">
                  <c:v>No / None</c:v>
                </c:pt>
                <c:pt idx="1">
                  <c:v>Ad hoc</c:v>
                </c:pt>
                <c:pt idx="2">
                  <c:v>Partial</c:v>
                </c:pt>
                <c:pt idx="3">
                  <c:v>Formal</c:v>
                </c:pt>
                <c:pt idx="4">
                  <c:v>Embedded</c:v>
                </c:pt>
                <c:pt idx="5">
                  <c:v>N/A</c:v>
                </c:pt>
              </c:strCache>
            </c:strRef>
          </c:cat>
          <c:val>
            <c:numRef>
              <c:f>'Step4. Dashboard'!$B$19:$B$24</c:f>
              <c:numCache>
                <c:formatCode>General</c:formatCode>
                <c:ptCount val="6"/>
                <c:pt idx="0">
                  <c:v>0</c:v>
                </c:pt>
                <c:pt idx="1">
                  <c:v>0</c:v>
                </c:pt>
                <c:pt idx="2">
                  <c:v>0</c:v>
                </c:pt>
                <c:pt idx="3">
                  <c:v>55</c:v>
                </c:pt>
                <c:pt idx="4">
                  <c:v>0</c:v>
                </c:pt>
                <c:pt idx="5">
                  <c:v>0</c:v>
                </c:pt>
              </c:numCache>
            </c:numRef>
          </c:val>
          <c:extLst>
            <c:ext xmlns:c16="http://schemas.microsoft.com/office/drawing/2014/chart" uri="{C3380CC4-5D6E-409C-BE32-E72D297353CC}">
              <c16:uniqueId val="{00000000-9DD3-4774-9ADE-611AA7CDB415}"/>
            </c:ext>
          </c:extLst>
        </c:ser>
        <c:dLbls>
          <c:showLegendKey val="0"/>
          <c:showVal val="0"/>
          <c:showCatName val="0"/>
          <c:showSerName val="0"/>
          <c:showPercent val="0"/>
          <c:showBubbleSize val="0"/>
        </c:dLbls>
        <c:gapWidth val="132"/>
        <c:axId val="1175561695"/>
        <c:axId val="1315035087"/>
      </c:barChart>
      <c:valAx>
        <c:axId val="1315035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1F1F1F"/>
                </a:solidFill>
                <a:latin typeface="+mn-lt"/>
                <a:ea typeface="+mn-ea"/>
                <a:cs typeface="+mn-cs"/>
              </a:defRPr>
            </a:pPr>
            <a:endParaRPr lang="en-US"/>
          </a:p>
        </c:txPr>
        <c:crossAx val="1175561695"/>
        <c:crosses val="autoZero"/>
        <c:crossBetween val="between"/>
      </c:valAx>
      <c:catAx>
        <c:axId val="1175561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1F1F1F"/>
                </a:solidFill>
                <a:latin typeface="+mn-lt"/>
                <a:ea typeface="+mn-ea"/>
                <a:cs typeface="+mn-cs"/>
              </a:defRPr>
            </a:pPr>
            <a:endParaRPr lang="en-US"/>
          </a:p>
        </c:txPr>
        <c:crossAx val="1315035087"/>
        <c:crosses val="autoZero"/>
        <c:auto val="1"/>
        <c:lblAlgn val="ctr"/>
        <c:lblOffset val="100"/>
        <c:tickLblSkip val="1"/>
        <c:noMultiLvlLbl val="0"/>
      </c:catAx>
      <c:spPr>
        <a:noFill/>
        <a:ln>
          <a:noFill/>
        </a:ln>
        <a:effectLst/>
      </c:spPr>
    </c:plotArea>
    <c:plotVisOnly val="1"/>
    <c:dispBlanksAs val="gap"/>
    <c:showDLblsOverMax val="1"/>
  </c:chart>
  <c:spPr>
    <a:solidFill>
      <a:schemeClr val="bg1"/>
    </a:solidFill>
    <a:ln w="9525" cap="flat" cmpd="sng" algn="ctr">
      <a:solidFill>
        <a:srgbClr val="002A4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E5A9F"/>
                </a:solidFill>
                <a:latin typeface="+mn-lt"/>
                <a:ea typeface="+mn-ea"/>
                <a:cs typeface="+mn-cs"/>
              </a:defRPr>
            </a:pPr>
            <a:r>
              <a:rPr lang="en-US" b="1">
                <a:solidFill>
                  <a:srgbClr val="1E5A9F"/>
                </a:solidFill>
              </a:rPr>
              <a:t>Theoretical Capabilities</a:t>
            </a:r>
          </a:p>
        </c:rich>
      </c:tx>
      <c:layout>
        <c:manualLayout>
          <c:xMode val="edge"/>
          <c:yMode val="edge"/>
          <c:x val="2.6557926204953342E-2"/>
          <c:y val="4.762807881509483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1E5A9F"/>
              </a:solidFill>
              <a:latin typeface="+mn-lt"/>
              <a:ea typeface="+mn-ea"/>
              <a:cs typeface="+mn-cs"/>
            </a:defRPr>
          </a:pPr>
          <a:endParaRPr lang="en-US"/>
        </a:p>
      </c:txPr>
    </c:title>
    <c:autoTitleDeleted val="0"/>
    <c:plotArea>
      <c:layout>
        <c:manualLayout>
          <c:layoutTarget val="inner"/>
          <c:xMode val="edge"/>
          <c:yMode val="edge"/>
          <c:x val="0.38108652003929638"/>
          <c:y val="0.26319019956968315"/>
          <c:w val="0.32290234458394201"/>
          <c:h val="0.55587968365097884"/>
        </c:manualLayout>
      </c:layout>
      <c:radarChart>
        <c:radarStyle val="marker"/>
        <c:varyColors val="0"/>
        <c:ser>
          <c:idx val="0"/>
          <c:order val="0"/>
          <c:tx>
            <c:strRef>
              <c:f>'Step4. Dashboard'!$B$27</c:f>
              <c:strCache>
                <c:ptCount val="1"/>
                <c:pt idx="0">
                  <c:v>Score</c:v>
                </c:pt>
              </c:strCache>
            </c:strRef>
          </c:tx>
          <c:spPr>
            <a:ln w="28575" cap="rnd">
              <a:solidFill>
                <a:schemeClr val="accent1"/>
              </a:solidFill>
              <a:round/>
            </a:ln>
            <a:effectLst/>
          </c:spPr>
          <c:marker>
            <c:symbol val="none"/>
          </c:marker>
          <c:cat>
            <c:strRef>
              <c:f>'Step4. Dashboard'!$A$28:$A$35</c:f>
              <c:strCache>
                <c:ptCount val="8"/>
                <c:pt idx="0">
                  <c:v>Governance</c:v>
                </c:pt>
                <c:pt idx="1">
                  <c:v>Risk</c:v>
                </c:pt>
                <c:pt idx="2">
                  <c:v>Security</c:v>
                </c:pt>
                <c:pt idx="3">
                  <c:v>Crisis</c:v>
                </c:pt>
                <c:pt idx="4">
                  <c:v>BCP</c:v>
                </c:pt>
                <c:pt idx="5">
                  <c:v>People</c:v>
                </c:pt>
                <c:pt idx="6">
                  <c:v>Operations</c:v>
                </c:pt>
                <c:pt idx="7">
                  <c:v>Assurance</c:v>
                </c:pt>
              </c:strCache>
            </c:strRef>
          </c:cat>
          <c:val>
            <c:numRef>
              <c:f>'Step4. Dashboard'!$B$28:$B$35</c:f>
              <c:numCache>
                <c:formatCode>0</c:formatCode>
                <c:ptCount val="8"/>
                <c:pt idx="0">
                  <c:v>75</c:v>
                </c:pt>
                <c:pt idx="1">
                  <c:v>75</c:v>
                </c:pt>
                <c:pt idx="2">
                  <c:v>75</c:v>
                </c:pt>
                <c:pt idx="3">
                  <c:v>75</c:v>
                </c:pt>
                <c:pt idx="4">
                  <c:v>75</c:v>
                </c:pt>
                <c:pt idx="5">
                  <c:v>75</c:v>
                </c:pt>
                <c:pt idx="6">
                  <c:v>75</c:v>
                </c:pt>
                <c:pt idx="7">
                  <c:v>75</c:v>
                </c:pt>
              </c:numCache>
            </c:numRef>
          </c:val>
          <c:extLst>
            <c:ext xmlns:c16="http://schemas.microsoft.com/office/drawing/2014/chart" uri="{C3380CC4-5D6E-409C-BE32-E72D297353CC}">
              <c16:uniqueId val="{00000000-2997-564D-985D-192EEE5682E5}"/>
            </c:ext>
          </c:extLst>
        </c:ser>
        <c:dLbls>
          <c:showLegendKey val="0"/>
          <c:showVal val="0"/>
          <c:showCatName val="0"/>
          <c:showSerName val="0"/>
          <c:showPercent val="0"/>
          <c:showBubbleSize val="0"/>
        </c:dLbls>
        <c:axId val="728103663"/>
        <c:axId val="1758834736"/>
      </c:radarChart>
      <c:catAx>
        <c:axId val="72810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834736"/>
        <c:crosses val="autoZero"/>
        <c:auto val="1"/>
        <c:lblAlgn val="ctr"/>
        <c:lblOffset val="100"/>
        <c:noMultiLvlLbl val="0"/>
      </c:catAx>
      <c:valAx>
        <c:axId val="17588347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10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A4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E5A9F"/>
                </a:solidFill>
                <a:latin typeface="+mn-lt"/>
                <a:ea typeface="+mn-ea"/>
                <a:cs typeface="+mn-cs"/>
              </a:defRPr>
            </a:pPr>
            <a:r>
              <a:rPr lang="en-GB" b="1">
                <a:solidFill>
                  <a:srgbClr val="1E5A9F"/>
                </a:solidFill>
              </a:rPr>
              <a:t>Maturity Distribution</a:t>
            </a:r>
          </a:p>
        </c:rich>
      </c:tx>
      <c:layout>
        <c:manualLayout>
          <c:xMode val="edge"/>
          <c:yMode val="edge"/>
          <c:x val="1.2849949788176376E-2"/>
          <c:y val="2.410714963643128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1E5A9F"/>
              </a:solidFill>
              <a:latin typeface="+mn-lt"/>
              <a:ea typeface="+mn-ea"/>
              <a:cs typeface="+mn-cs"/>
            </a:defRPr>
          </a:pPr>
          <a:endParaRPr lang="en-US"/>
        </a:p>
      </c:txPr>
    </c:title>
    <c:autoTitleDeleted val="0"/>
    <c:plotArea>
      <c:layout/>
      <c:pieChart>
        <c:varyColors val="1"/>
        <c:ser>
          <c:idx val="0"/>
          <c:order val="0"/>
          <c:dPt>
            <c:idx val="0"/>
            <c:bubble3D val="0"/>
            <c:spPr>
              <a:solidFill>
                <a:srgbClr val="C00000"/>
              </a:solidFill>
              <a:ln>
                <a:noFill/>
              </a:ln>
              <a:effectLst/>
            </c:spPr>
            <c:extLst>
              <c:ext xmlns:c16="http://schemas.microsoft.com/office/drawing/2014/chart" uri="{C3380CC4-5D6E-409C-BE32-E72D297353CC}">
                <c16:uniqueId val="{00000001-F01F-402A-A04C-E5A0C5FD3D49}"/>
              </c:ext>
            </c:extLst>
          </c:dPt>
          <c:dPt>
            <c:idx val="1"/>
            <c:bubble3D val="0"/>
            <c:spPr>
              <a:solidFill>
                <a:srgbClr val="ED7D31"/>
              </a:solidFill>
              <a:ln>
                <a:noFill/>
              </a:ln>
              <a:effectLst/>
            </c:spPr>
            <c:extLst>
              <c:ext xmlns:c16="http://schemas.microsoft.com/office/drawing/2014/chart" uri="{C3380CC4-5D6E-409C-BE32-E72D297353CC}">
                <c16:uniqueId val="{00000002-F01F-402A-A04C-E5A0C5FD3D49}"/>
              </c:ext>
            </c:extLst>
          </c:dPt>
          <c:dPt>
            <c:idx val="2"/>
            <c:bubble3D val="0"/>
            <c:spPr>
              <a:solidFill>
                <a:srgbClr val="8064A2"/>
              </a:solidFill>
              <a:ln>
                <a:noFill/>
              </a:ln>
              <a:effectLst/>
            </c:spPr>
            <c:extLst>
              <c:ext xmlns:c16="http://schemas.microsoft.com/office/drawing/2014/chart" uri="{C3380CC4-5D6E-409C-BE32-E72D297353CC}">
                <c16:uniqueId val="{00000003-F01F-402A-A04C-E5A0C5FD3D49}"/>
              </c:ext>
            </c:extLst>
          </c:dPt>
          <c:dPt>
            <c:idx val="3"/>
            <c:bubble3D val="0"/>
            <c:spPr>
              <a:solidFill>
                <a:srgbClr val="4472C4"/>
              </a:solidFill>
              <a:ln>
                <a:noFill/>
              </a:ln>
              <a:effectLst/>
            </c:spPr>
            <c:extLst>
              <c:ext xmlns:c16="http://schemas.microsoft.com/office/drawing/2014/chart" uri="{C3380CC4-5D6E-409C-BE32-E72D297353CC}">
                <c16:uniqueId val="{00000004-F01F-402A-A04C-E5A0C5FD3D49}"/>
              </c:ext>
            </c:extLst>
          </c:dPt>
          <c:dPt>
            <c:idx val="4"/>
            <c:bubble3D val="0"/>
            <c:spPr>
              <a:solidFill>
                <a:srgbClr val="70AD47"/>
              </a:solidFill>
              <a:ln>
                <a:noFill/>
              </a:ln>
              <a:effectLst/>
            </c:spPr>
            <c:extLst>
              <c:ext xmlns:c16="http://schemas.microsoft.com/office/drawing/2014/chart" uri="{C3380CC4-5D6E-409C-BE32-E72D297353CC}">
                <c16:uniqueId val="{00000005-F01F-402A-A04C-E5A0C5FD3D49}"/>
              </c:ext>
            </c:extLst>
          </c:dPt>
          <c:dPt>
            <c:idx val="5"/>
            <c:bubble3D val="0"/>
            <c:spPr>
              <a:solidFill>
                <a:srgbClr val="A5A5A5"/>
              </a:solidFill>
              <a:ln>
                <a:noFill/>
              </a:ln>
              <a:effectLst/>
            </c:spPr>
            <c:extLst>
              <c:ext xmlns:c16="http://schemas.microsoft.com/office/drawing/2014/chart" uri="{C3380CC4-5D6E-409C-BE32-E72D297353CC}">
                <c16:uniqueId val="{00000006-F01F-402A-A04C-E5A0C5FD3D49}"/>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'Step4. Dashboard'!$A$19:$A$24</c:f>
              <c:strCache>
                <c:ptCount val="6"/>
                <c:pt idx="0">
                  <c:v>No / None</c:v>
                </c:pt>
                <c:pt idx="1">
                  <c:v>Ad hoc</c:v>
                </c:pt>
                <c:pt idx="2">
                  <c:v>Partial</c:v>
                </c:pt>
                <c:pt idx="3">
                  <c:v>Formal</c:v>
                </c:pt>
                <c:pt idx="4">
                  <c:v>Embedded</c:v>
                </c:pt>
                <c:pt idx="5">
                  <c:v>N/A</c:v>
                </c:pt>
              </c:strCache>
            </c:strRef>
          </c:cat>
          <c:val>
            <c:numRef>
              <c:f>'Step4. Dashboard'!$B$19:$B$24</c:f>
              <c:numCache>
                <c:formatCode>General</c:formatCode>
                <c:ptCount val="6"/>
                <c:pt idx="0">
                  <c:v>0</c:v>
                </c:pt>
                <c:pt idx="1">
                  <c:v>0</c:v>
                </c:pt>
                <c:pt idx="2">
                  <c:v>0</c:v>
                </c:pt>
                <c:pt idx="3">
                  <c:v>55</c:v>
                </c:pt>
                <c:pt idx="4">
                  <c:v>0</c:v>
                </c:pt>
                <c:pt idx="5">
                  <c:v>0</c:v>
                </c:pt>
              </c:numCache>
            </c:numRef>
          </c:val>
          <c:extLst>
            <c:ext xmlns:c16="http://schemas.microsoft.com/office/drawing/2014/chart" uri="{C3380CC4-5D6E-409C-BE32-E72D297353CC}">
              <c16:uniqueId val="{00000000-F01F-402A-A04C-E5A0C5FD3D49}"/>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1.0033636029962195E-3"/>
          <c:y val="0.75691767629855911"/>
          <c:w val="0.9813651069505297"/>
          <c:h val="0.227010890610486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A4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231069</xdr:colOff>
      <xdr:row>15</xdr:row>
      <xdr:rowOff>174625</xdr:rowOff>
    </xdr:from>
    <xdr:ext cx="3875264" cy="1553986"/>
    <xdr:graphicFrame macro="">
      <xdr:nvGraphicFramePr>
        <xdr:cNvPr id="1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3</xdr:col>
      <xdr:colOff>453848</xdr:colOff>
      <xdr:row>25</xdr:row>
      <xdr:rowOff>173391</xdr:rowOff>
    </xdr:from>
    <xdr:to>
      <xdr:col>3</xdr:col>
      <xdr:colOff>3500437</xdr:colOff>
      <xdr:row>35</xdr:row>
      <xdr:rowOff>1</xdr:rowOff>
    </xdr:to>
    <xdr:graphicFrame macro="">
      <xdr:nvGraphicFramePr>
        <xdr:cNvPr id="15" name="Chart 3">
          <a:extLst>
            <a:ext uri="{FF2B5EF4-FFF2-40B4-BE49-F238E27FC236}">
              <a16:creationId xmlns:a16="http://schemas.microsoft.com/office/drawing/2014/main" id="{E79AEF87-21E7-0746-8C09-8241972D0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2814637</xdr:colOff>
      <xdr:row>15</xdr:row>
      <xdr:rowOff>174625</xdr:rowOff>
    </xdr:from>
    <xdr:to>
      <xdr:col>4</xdr:col>
      <xdr:colOff>1381125</xdr:colOff>
      <xdr:row>24</xdr:row>
      <xdr:rowOff>63500</xdr:rowOff>
    </xdr:to>
    <xdr:graphicFrame macro="">
      <xdr:nvGraphicFramePr>
        <xdr:cNvPr id="2" name="Chart 1">
          <a:extLst>
            <a:ext uri="{FF2B5EF4-FFF2-40B4-BE49-F238E27FC236}">
              <a16:creationId xmlns:a16="http://schemas.microsoft.com/office/drawing/2014/main" id="{F6A02262-B968-BF8C-F9EC-875EBDE774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622300</xdr:colOff>
      <xdr:row>7</xdr:row>
      <xdr:rowOff>0</xdr:rowOff>
    </xdr:from>
    <xdr:ext cx="8572500" cy="2349500"/>
    <xdr:sp macro="" textlink="">
      <xdr:nvSpPr>
        <xdr:cNvPr id="2" name="TextBox 1">
          <a:extLst>
            <a:ext uri="{FF2B5EF4-FFF2-40B4-BE49-F238E27FC236}">
              <a16:creationId xmlns:a16="http://schemas.microsoft.com/office/drawing/2014/main" id="{1C9C938E-E220-B440-8F37-0D27C0376339}"/>
            </a:ext>
          </a:extLst>
        </xdr:cNvPr>
        <xdr:cNvSpPr txBox="1"/>
      </xdr:nvSpPr>
      <xdr:spPr>
        <a:xfrm>
          <a:off x="622300" y="1333500"/>
          <a:ext cx="8572500" cy="2349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lang="en-GB" sz="1100" b="0" i="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0" i="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0" i="0">
              <a:solidFill>
                <a:schemeClr val="tx1"/>
              </a:solidFill>
              <a:effectLst/>
              <a:latin typeface="+mn-lt"/>
              <a:ea typeface="+mn-ea"/>
              <a:cs typeface="+mn-cs"/>
            </a:rPr>
            <a:t>© Maravi Group Ltd. All rights reserved. This tool and its contents are the intellectual property of Maravi Group Ltd and are provided for the sole use of the intended recipient.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0" i="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0" i="0">
              <a:solidFill>
                <a:schemeClr val="tx1"/>
              </a:solidFill>
              <a:effectLst/>
              <a:latin typeface="+mn-lt"/>
              <a:ea typeface="+mn-ea"/>
              <a:cs typeface="+mn-cs"/>
            </a:rPr>
            <a:t>The structure, methodology, scoring system, and associated materials may not be copied, reproduced, distributed, or modified, in whole or in part, without the prior written permission of Maravi Group Ltd.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0" i="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0" i="0">
              <a:solidFill>
                <a:schemeClr val="tx1"/>
              </a:solidFill>
              <a:effectLst/>
              <a:latin typeface="+mn-lt"/>
              <a:ea typeface="+mn-ea"/>
              <a:cs typeface="+mn-cs"/>
            </a:rPr>
            <a:t>This tool is provided for advisory and assessment purposes only and does not constitute legal, regulatory, or compliance advice. Users remain responsible for their own operational decisions and actions.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0" i="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0" i="0">
              <a:solidFill>
                <a:schemeClr val="tx1"/>
              </a:solidFill>
              <a:effectLst/>
              <a:latin typeface="+mn-lt"/>
              <a:ea typeface="+mn-ea"/>
              <a:cs typeface="+mn-cs"/>
            </a:rPr>
            <a:t>Unauthorized use or distribution of this tool is strictly prohibited.</a:t>
          </a:r>
        </a:p>
        <a:p>
          <a:endParaRPr lang="en-GB" sz="1100"/>
        </a:p>
      </xdr:txBody>
    </xdr:sp>
    <xdr:clientData/>
  </xdr:oneCellAnchor>
  <xdr:twoCellAnchor editAs="oneCell">
    <xdr:from>
      <xdr:col>0</xdr:col>
      <xdr:colOff>63500</xdr:colOff>
      <xdr:row>0</xdr:row>
      <xdr:rowOff>177800</xdr:rowOff>
    </xdr:from>
    <xdr:to>
      <xdr:col>4</xdr:col>
      <xdr:colOff>221392</xdr:colOff>
      <xdr:row>5</xdr:row>
      <xdr:rowOff>25400</xdr:rowOff>
    </xdr:to>
    <xdr:pic>
      <xdr:nvPicPr>
        <xdr:cNvPr id="3" name="Picture 2">
          <a:extLst>
            <a:ext uri="{FF2B5EF4-FFF2-40B4-BE49-F238E27FC236}">
              <a16:creationId xmlns:a16="http://schemas.microsoft.com/office/drawing/2014/main" id="{38C04BB7-9101-4E46-A1BF-0391A1ADA3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177800"/>
          <a:ext cx="3459892" cy="800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622300</xdr:colOff>
      <xdr:row>7</xdr:row>
      <xdr:rowOff>0</xdr:rowOff>
    </xdr:from>
    <xdr:ext cx="8572500" cy="2349500"/>
    <xdr:sp macro="" textlink="">
      <xdr:nvSpPr>
        <xdr:cNvPr id="2" name="TextBox 1">
          <a:extLst>
            <a:ext uri="{FF2B5EF4-FFF2-40B4-BE49-F238E27FC236}">
              <a16:creationId xmlns:a16="http://schemas.microsoft.com/office/drawing/2014/main" id="{CC3D3930-26C0-EB09-A548-C7E5931E7D2A}"/>
            </a:ext>
          </a:extLst>
        </xdr:cNvPr>
        <xdr:cNvSpPr txBox="1"/>
      </xdr:nvSpPr>
      <xdr:spPr>
        <a:xfrm>
          <a:off x="622300" y="1333500"/>
          <a:ext cx="8572500" cy="2349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lang="en-GB" sz="1100" b="0" i="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0" i="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0" i="0">
              <a:solidFill>
                <a:schemeClr val="tx1"/>
              </a:solidFill>
              <a:effectLst/>
              <a:latin typeface="+mn-lt"/>
              <a:ea typeface="+mn-ea"/>
              <a:cs typeface="+mn-cs"/>
            </a:rPr>
            <a:t>xxx</a:t>
          </a:r>
        </a:p>
        <a:p>
          <a:endParaRPr lang="en-GB" sz="1100"/>
        </a:p>
      </xdr:txBody>
    </xdr:sp>
    <xdr:clientData/>
  </xdr:oneCellAnchor>
  <xdr:twoCellAnchor editAs="oneCell">
    <xdr:from>
      <xdr:col>0</xdr:col>
      <xdr:colOff>63500</xdr:colOff>
      <xdr:row>0</xdr:row>
      <xdr:rowOff>177800</xdr:rowOff>
    </xdr:from>
    <xdr:to>
      <xdr:col>4</xdr:col>
      <xdr:colOff>221392</xdr:colOff>
      <xdr:row>5</xdr:row>
      <xdr:rowOff>25400</xdr:rowOff>
    </xdr:to>
    <xdr:pic>
      <xdr:nvPicPr>
        <xdr:cNvPr id="4" name="Picture 3">
          <a:extLst>
            <a:ext uri="{FF2B5EF4-FFF2-40B4-BE49-F238E27FC236}">
              <a16:creationId xmlns:a16="http://schemas.microsoft.com/office/drawing/2014/main" id="{0167302A-AD8A-34BE-9EA8-E5BBA88695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177800"/>
          <a:ext cx="3459892" cy="800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ADCB7-D068-46DE-BD18-DFC8B20F8AA3}">
  <sheetPr>
    <tabColor rgb="FF34BFD8"/>
  </sheetPr>
  <dimension ref="A1:K107"/>
  <sheetViews>
    <sheetView showGridLines="0" zoomScale="110" zoomScaleNormal="110" workbookViewId="0">
      <selection activeCell="A10" sqref="A10:I13"/>
    </sheetView>
  </sheetViews>
  <sheetFormatPr baseColWidth="10" defaultColWidth="11.5" defaultRowHeight="15" x14ac:dyDescent="0.2"/>
  <cols>
    <col min="1" max="5" width="11.5" style="1"/>
    <col min="6" max="6" width="16.33203125" style="1" customWidth="1"/>
    <col min="7" max="9" width="11.5" style="1"/>
    <col min="10" max="10" width="12.6640625" style="1" customWidth="1"/>
    <col min="11" max="11" width="11.5" style="2"/>
    <col min="12" max="16384" width="11.5" style="1"/>
  </cols>
  <sheetData>
    <row r="1" spans="1:11" ht="19" x14ac:dyDescent="0.25">
      <c r="A1" s="70" t="s">
        <v>0</v>
      </c>
      <c r="B1" s="70"/>
      <c r="C1" s="70"/>
      <c r="D1" s="70"/>
      <c r="E1" s="70"/>
      <c r="F1" s="70"/>
      <c r="G1" s="70"/>
      <c r="J1" s="5" t="s">
        <v>266</v>
      </c>
    </row>
    <row r="2" spans="1:11" x14ac:dyDescent="0.2">
      <c r="A2" s="3"/>
      <c r="B2" s="3"/>
      <c r="C2" s="3"/>
      <c r="D2" s="3"/>
      <c r="E2" s="3"/>
      <c r="F2" s="3"/>
      <c r="G2" s="3"/>
    </row>
    <row r="3" spans="1:11" x14ac:dyDescent="0.2">
      <c r="A3" s="4" t="s">
        <v>1</v>
      </c>
      <c r="B3" s="3"/>
      <c r="C3" s="3"/>
      <c r="D3" s="3"/>
      <c r="E3" s="3"/>
      <c r="F3" s="3"/>
      <c r="G3" s="3"/>
    </row>
    <row r="4" spans="1:11" x14ac:dyDescent="0.2">
      <c r="A4" s="3" t="s">
        <v>2</v>
      </c>
      <c r="B4" s="3"/>
      <c r="C4" s="3"/>
      <c r="D4" s="3"/>
      <c r="E4" s="3"/>
      <c r="F4" s="3"/>
      <c r="G4" s="3"/>
    </row>
    <row r="5" spans="1:11" x14ac:dyDescent="0.2">
      <c r="A5" s="3"/>
      <c r="B5" s="3" t="s">
        <v>3</v>
      </c>
      <c r="C5" s="3"/>
      <c r="D5" s="3"/>
      <c r="E5" s="3"/>
      <c r="F5" s="3"/>
      <c r="G5" s="3"/>
    </row>
    <row r="6" spans="1:11" x14ac:dyDescent="0.2">
      <c r="A6" s="3"/>
      <c r="B6" s="3" t="s">
        <v>4</v>
      </c>
      <c r="C6" s="3"/>
      <c r="D6" s="3"/>
      <c r="E6" s="3"/>
      <c r="F6" s="3"/>
      <c r="G6" s="3"/>
    </row>
    <row r="7" spans="1:11" x14ac:dyDescent="0.2">
      <c r="A7" s="3" t="s">
        <v>5</v>
      </c>
      <c r="B7" s="3"/>
      <c r="C7" s="3"/>
      <c r="D7" s="3"/>
      <c r="E7" s="3"/>
      <c r="F7" s="3"/>
      <c r="G7" s="3"/>
    </row>
    <row r="8" spans="1:11" x14ac:dyDescent="0.2">
      <c r="A8" s="3"/>
      <c r="B8" s="3" t="s">
        <v>6</v>
      </c>
      <c r="C8" s="3"/>
      <c r="D8" s="3"/>
      <c r="E8" s="3"/>
      <c r="F8" s="3"/>
      <c r="G8" s="3"/>
    </row>
    <row r="9" spans="1:11" x14ac:dyDescent="0.2">
      <c r="A9" s="3"/>
      <c r="B9" s="3" t="s">
        <v>7</v>
      </c>
      <c r="C9" s="3"/>
      <c r="D9" s="3"/>
      <c r="E9" s="3"/>
      <c r="F9" s="3"/>
      <c r="G9" s="3"/>
    </row>
    <row r="10" spans="1:11" x14ac:dyDescent="0.2">
      <c r="A10" s="2" t="s">
        <v>8</v>
      </c>
      <c r="B10" s="2"/>
      <c r="C10" s="2"/>
      <c r="K10" s="5" t="s">
        <v>9</v>
      </c>
    </row>
    <row r="11" spans="1:11" x14ac:dyDescent="0.2">
      <c r="A11" s="2"/>
      <c r="B11" s="2" t="s">
        <v>10</v>
      </c>
      <c r="C11" s="2"/>
      <c r="K11" s="5" t="s">
        <v>11</v>
      </c>
    </row>
    <row r="12" spans="1:11" x14ac:dyDescent="0.2">
      <c r="A12" s="2"/>
      <c r="B12" s="2" t="s">
        <v>12</v>
      </c>
      <c r="C12" s="2"/>
      <c r="K12" s="5"/>
    </row>
    <row r="13" spans="1:11" x14ac:dyDescent="0.2">
      <c r="A13" s="2"/>
      <c r="B13" s="2" t="s">
        <v>13</v>
      </c>
      <c r="C13" s="2"/>
      <c r="K13" s="5" t="s">
        <v>14</v>
      </c>
    </row>
    <row r="15" spans="1:11" x14ac:dyDescent="0.2">
      <c r="A15" s="4" t="s">
        <v>15</v>
      </c>
      <c r="B15" s="3"/>
      <c r="C15" s="3"/>
      <c r="D15" s="3"/>
    </row>
    <row r="16" spans="1:11" x14ac:dyDescent="0.2">
      <c r="A16" s="3" t="s">
        <v>16</v>
      </c>
      <c r="B16" s="3"/>
      <c r="C16" s="3"/>
      <c r="D16" s="3"/>
    </row>
    <row r="17" spans="1:4" x14ac:dyDescent="0.2">
      <c r="A17" s="3"/>
      <c r="B17" s="3"/>
      <c r="C17" s="3"/>
      <c r="D17" s="3"/>
    </row>
    <row r="18" spans="1:4" x14ac:dyDescent="0.2">
      <c r="A18" s="6" t="s">
        <v>17</v>
      </c>
      <c r="B18" s="3"/>
      <c r="C18" s="3"/>
      <c r="D18" s="3"/>
    </row>
    <row r="19" spans="1:4" x14ac:dyDescent="0.2">
      <c r="A19" s="3" t="s">
        <v>18</v>
      </c>
      <c r="B19" s="3"/>
      <c r="C19" s="3"/>
      <c r="D19" s="3"/>
    </row>
    <row r="20" spans="1:4" x14ac:dyDescent="0.2">
      <c r="A20" s="3" t="s">
        <v>19</v>
      </c>
      <c r="B20" s="3"/>
      <c r="C20" s="3"/>
      <c r="D20" s="3"/>
    </row>
    <row r="21" spans="1:4" x14ac:dyDescent="0.2">
      <c r="A21" s="3" t="s">
        <v>20</v>
      </c>
      <c r="B21" s="3"/>
      <c r="C21" s="3"/>
      <c r="D21" s="3"/>
    </row>
    <row r="22" spans="1:4" x14ac:dyDescent="0.2">
      <c r="A22" s="3"/>
      <c r="B22" s="3" t="s">
        <v>21</v>
      </c>
      <c r="C22" s="3"/>
      <c r="D22" s="3"/>
    </row>
    <row r="23" spans="1:4" x14ac:dyDescent="0.2">
      <c r="A23" s="3"/>
      <c r="B23" s="3" t="s">
        <v>22</v>
      </c>
      <c r="C23" s="3"/>
      <c r="D23" s="3"/>
    </row>
    <row r="24" spans="1:4" x14ac:dyDescent="0.2">
      <c r="A24" s="3"/>
      <c r="B24" s="3" t="s">
        <v>23</v>
      </c>
      <c r="C24" s="3"/>
      <c r="D24" s="3"/>
    </row>
    <row r="25" spans="1:4" x14ac:dyDescent="0.2">
      <c r="A25" s="3"/>
      <c r="B25" s="3" t="s">
        <v>24</v>
      </c>
      <c r="C25" s="3"/>
      <c r="D25" s="3"/>
    </row>
    <row r="26" spans="1:4" x14ac:dyDescent="0.2">
      <c r="A26" s="3"/>
      <c r="B26" s="3" t="s">
        <v>25</v>
      </c>
      <c r="C26" s="3"/>
      <c r="D26" s="3"/>
    </row>
    <row r="27" spans="1:4" x14ac:dyDescent="0.2">
      <c r="A27" s="3"/>
      <c r="B27" s="3" t="s">
        <v>26</v>
      </c>
      <c r="C27" s="3"/>
      <c r="D27" s="3"/>
    </row>
    <row r="28" spans="1:4" x14ac:dyDescent="0.2">
      <c r="A28" s="3" t="s">
        <v>27</v>
      </c>
      <c r="B28" s="3"/>
      <c r="C28" s="3"/>
      <c r="D28" s="3"/>
    </row>
    <row r="29" spans="1:4" x14ac:dyDescent="0.2">
      <c r="A29" s="3" t="s">
        <v>28</v>
      </c>
      <c r="B29" s="3"/>
      <c r="C29" s="3"/>
      <c r="D29" s="3"/>
    </row>
    <row r="30" spans="1:4" x14ac:dyDescent="0.2">
      <c r="A30" s="3" t="s">
        <v>29</v>
      </c>
      <c r="B30" s="3"/>
      <c r="C30" s="3"/>
      <c r="D30" s="3"/>
    </row>
    <row r="31" spans="1:4" x14ac:dyDescent="0.2">
      <c r="A31" s="3"/>
      <c r="B31" s="3"/>
      <c r="C31" s="3"/>
      <c r="D31" s="3"/>
    </row>
    <row r="32" spans="1:4" x14ac:dyDescent="0.2">
      <c r="A32" s="6" t="s">
        <v>30</v>
      </c>
      <c r="B32" s="3"/>
      <c r="C32" s="3"/>
      <c r="D32" s="3"/>
    </row>
    <row r="33" spans="1:10" x14ac:dyDescent="0.2">
      <c r="A33" s="3" t="s">
        <v>31</v>
      </c>
      <c r="B33" s="3"/>
      <c r="C33" s="3"/>
      <c r="D33" s="3"/>
    </row>
    <row r="34" spans="1:10" x14ac:dyDescent="0.2">
      <c r="A34" s="3" t="s">
        <v>32</v>
      </c>
      <c r="B34" s="3"/>
      <c r="C34" s="3"/>
      <c r="D34" s="3"/>
      <c r="J34" s="7" t="s">
        <v>255</v>
      </c>
    </row>
    <row r="35" spans="1:10" x14ac:dyDescent="0.2">
      <c r="A35" s="3" t="s">
        <v>33</v>
      </c>
      <c r="B35" s="3"/>
      <c r="C35" s="3"/>
      <c r="D35" s="3"/>
      <c r="J35" s="1" t="s">
        <v>256</v>
      </c>
    </row>
    <row r="36" spans="1:10" x14ac:dyDescent="0.2">
      <c r="A36" s="8" t="s">
        <v>34</v>
      </c>
      <c r="B36" s="3"/>
      <c r="C36" s="3"/>
      <c r="D36" s="3"/>
      <c r="J36" s="1" t="s">
        <v>258</v>
      </c>
    </row>
    <row r="37" spans="1:10" x14ac:dyDescent="0.2">
      <c r="A37" s="8" t="s">
        <v>35</v>
      </c>
      <c r="B37" s="3"/>
      <c r="C37" s="3"/>
      <c r="D37" s="3"/>
    </row>
    <row r="38" spans="1:10" x14ac:dyDescent="0.2">
      <c r="A38" s="3" t="s">
        <v>36</v>
      </c>
      <c r="B38" s="3"/>
      <c r="C38" s="3"/>
      <c r="D38" s="3"/>
    </row>
    <row r="39" spans="1:10" x14ac:dyDescent="0.2">
      <c r="A39" s="3"/>
      <c r="B39" s="3"/>
      <c r="C39" s="3"/>
      <c r="D39" s="3"/>
    </row>
    <row r="40" spans="1:10" x14ac:dyDescent="0.2">
      <c r="A40" s="6" t="s">
        <v>37</v>
      </c>
      <c r="B40" s="3"/>
      <c r="C40" s="3"/>
      <c r="D40" s="3"/>
    </row>
    <row r="41" spans="1:10" x14ac:dyDescent="0.2">
      <c r="A41" s="3" t="s">
        <v>38</v>
      </c>
      <c r="B41" s="3"/>
      <c r="C41" s="3"/>
      <c r="D41" s="3"/>
    </row>
    <row r="42" spans="1:10" x14ac:dyDescent="0.2">
      <c r="A42" s="3" t="s">
        <v>39</v>
      </c>
      <c r="B42" s="3"/>
      <c r="C42" s="3"/>
      <c r="D42" s="3"/>
    </row>
    <row r="43" spans="1:10" x14ac:dyDescent="0.2">
      <c r="A43" s="3"/>
      <c r="B43" s="3" t="s">
        <v>40</v>
      </c>
      <c r="C43" s="3"/>
      <c r="D43" s="3"/>
    </row>
    <row r="44" spans="1:10" x14ac:dyDescent="0.2">
      <c r="A44" s="3"/>
      <c r="B44" s="3" t="s">
        <v>41</v>
      </c>
      <c r="C44" s="3"/>
      <c r="D44" s="3"/>
    </row>
    <row r="45" spans="1:10" x14ac:dyDescent="0.2">
      <c r="A45" s="3"/>
      <c r="B45" s="3"/>
      <c r="C45" s="3" t="s">
        <v>42</v>
      </c>
      <c r="D45" s="3"/>
    </row>
    <row r="46" spans="1:10" x14ac:dyDescent="0.2">
      <c r="A46" s="3"/>
      <c r="B46" s="3"/>
      <c r="C46" s="3" t="s">
        <v>43</v>
      </c>
      <c r="D46" s="3"/>
    </row>
    <row r="47" spans="1:10" x14ac:dyDescent="0.2">
      <c r="A47" s="3"/>
      <c r="B47" s="3"/>
      <c r="C47" s="3" t="s">
        <v>44</v>
      </c>
      <c r="D47" s="3"/>
    </row>
    <row r="48" spans="1:10" x14ac:dyDescent="0.2">
      <c r="A48" s="3"/>
      <c r="B48" s="3"/>
      <c r="C48" s="3"/>
      <c r="D48" s="3"/>
    </row>
    <row r="49" spans="1:7" x14ac:dyDescent="0.2">
      <c r="A49" s="6" t="s">
        <v>45</v>
      </c>
      <c r="B49" s="3"/>
      <c r="C49" s="3"/>
      <c r="D49" s="3"/>
    </row>
    <row r="50" spans="1:7" x14ac:dyDescent="0.2">
      <c r="A50" s="3" t="s">
        <v>46</v>
      </c>
      <c r="B50" s="3"/>
      <c r="C50" s="3"/>
      <c r="D50" s="3"/>
    </row>
    <row r="51" spans="1:7" x14ac:dyDescent="0.2">
      <c r="A51" s="3" t="s">
        <v>47</v>
      </c>
      <c r="B51" s="3"/>
      <c r="C51" s="3"/>
      <c r="D51" s="3"/>
    </row>
    <row r="52" spans="1:7" x14ac:dyDescent="0.2">
      <c r="A52" s="3"/>
      <c r="B52" s="8" t="s">
        <v>48</v>
      </c>
      <c r="C52" s="3"/>
      <c r="D52" s="3"/>
      <c r="G52" s="2" t="s">
        <v>259</v>
      </c>
    </row>
    <row r="53" spans="1:7" x14ac:dyDescent="0.2">
      <c r="A53" s="3"/>
      <c r="B53" s="3"/>
      <c r="C53" s="3" t="s">
        <v>49</v>
      </c>
      <c r="D53" s="3"/>
      <c r="G53" s="2"/>
    </row>
    <row r="54" spans="1:7" x14ac:dyDescent="0.2">
      <c r="A54" s="3"/>
      <c r="B54" s="3" t="s">
        <v>50</v>
      </c>
      <c r="C54" s="3"/>
      <c r="D54" s="3"/>
    </row>
    <row r="55" spans="1:7" x14ac:dyDescent="0.2">
      <c r="A55" s="3"/>
      <c r="B55" s="3"/>
      <c r="C55" s="3" t="s">
        <v>51</v>
      </c>
      <c r="D55" s="3"/>
    </row>
    <row r="56" spans="1:7" x14ac:dyDescent="0.2">
      <c r="A56" s="3"/>
      <c r="B56" s="3"/>
      <c r="C56" s="3" t="s">
        <v>52</v>
      </c>
      <c r="D56" s="3"/>
    </row>
    <row r="57" spans="1:7" x14ac:dyDescent="0.2">
      <c r="A57" s="3"/>
      <c r="B57" s="3"/>
      <c r="C57" s="3" t="s">
        <v>53</v>
      </c>
      <c r="D57" s="3"/>
    </row>
    <row r="58" spans="1:7" x14ac:dyDescent="0.2">
      <c r="A58" s="3"/>
      <c r="B58" s="3"/>
      <c r="C58" s="3" t="s">
        <v>54</v>
      </c>
      <c r="D58" s="3"/>
    </row>
    <row r="59" spans="1:7" x14ac:dyDescent="0.2">
      <c r="A59" s="3"/>
      <c r="B59" s="3"/>
      <c r="C59" s="3" t="s">
        <v>55</v>
      </c>
      <c r="D59" s="3"/>
    </row>
    <row r="60" spans="1:7" x14ac:dyDescent="0.2">
      <c r="A60" s="3"/>
      <c r="B60" s="8" t="s">
        <v>56</v>
      </c>
      <c r="C60" s="3"/>
      <c r="D60" s="3"/>
    </row>
    <row r="61" spans="1:7" x14ac:dyDescent="0.2">
      <c r="A61" s="3"/>
      <c r="B61" s="3" t="s">
        <v>57</v>
      </c>
      <c r="C61" s="3"/>
      <c r="D61" s="3"/>
    </row>
    <row r="62" spans="1:7" x14ac:dyDescent="0.2">
      <c r="A62" s="3"/>
      <c r="B62" s="3" t="s">
        <v>58</v>
      </c>
      <c r="C62" s="3"/>
      <c r="D62" s="3"/>
    </row>
    <row r="63" spans="1:7" x14ac:dyDescent="0.2">
      <c r="A63" s="3"/>
      <c r="B63" s="3"/>
      <c r="C63" s="3"/>
      <c r="D63" s="3"/>
    </row>
    <row r="64" spans="1:7" x14ac:dyDescent="0.2">
      <c r="A64" s="9" t="s">
        <v>59</v>
      </c>
    </row>
    <row r="65" spans="1:11" x14ac:dyDescent="0.2">
      <c r="A65" s="2" t="s">
        <v>60</v>
      </c>
      <c r="B65" s="2"/>
      <c r="C65" s="2"/>
      <c r="D65" s="2"/>
      <c r="E65" s="2"/>
      <c r="F65" s="2"/>
      <c r="G65" s="2"/>
    </row>
    <row r="66" spans="1:11" x14ac:dyDescent="0.2">
      <c r="A66" s="2" t="s">
        <v>61</v>
      </c>
      <c r="B66" s="2"/>
      <c r="C66" s="2"/>
      <c r="D66" s="2"/>
      <c r="E66" s="2"/>
      <c r="F66" s="2"/>
      <c r="G66" s="2"/>
    </row>
    <row r="67" spans="1:11" x14ac:dyDescent="0.2">
      <c r="A67" s="2" t="s">
        <v>62</v>
      </c>
      <c r="B67" s="2"/>
      <c r="C67" s="2"/>
      <c r="D67" s="2"/>
      <c r="E67" s="2"/>
      <c r="F67" s="2"/>
      <c r="G67" s="2"/>
    </row>
    <row r="69" spans="1:11" x14ac:dyDescent="0.2">
      <c r="A69" s="4" t="s">
        <v>63</v>
      </c>
      <c r="B69" s="3"/>
    </row>
    <row r="70" spans="1:11" x14ac:dyDescent="0.2">
      <c r="A70" s="3" t="s">
        <v>64</v>
      </c>
      <c r="B70" s="3"/>
      <c r="K70" s="5" t="s">
        <v>260</v>
      </c>
    </row>
    <row r="71" spans="1:11" x14ac:dyDescent="0.2">
      <c r="A71" s="3" t="s">
        <v>65</v>
      </c>
      <c r="B71" s="3"/>
    </row>
    <row r="72" spans="1:11" x14ac:dyDescent="0.2">
      <c r="A72" s="2" t="s">
        <v>66</v>
      </c>
    </row>
    <row r="73" spans="1:11" x14ac:dyDescent="0.2">
      <c r="A73" s="2" t="s">
        <v>67</v>
      </c>
    </row>
    <row r="74" spans="1:11" x14ac:dyDescent="0.2">
      <c r="A74" s="1" t="s">
        <v>68</v>
      </c>
    </row>
    <row r="76" spans="1:11" x14ac:dyDescent="0.2">
      <c r="A76" s="10" t="s">
        <v>265</v>
      </c>
    </row>
    <row r="77" spans="1:11" x14ac:dyDescent="0.2">
      <c r="A77" s="1" t="s">
        <v>69</v>
      </c>
    </row>
    <row r="79" spans="1:11" x14ac:dyDescent="0.2">
      <c r="B79" s="1" t="s">
        <v>70</v>
      </c>
      <c r="K79" s="5" t="s">
        <v>261</v>
      </c>
    </row>
    <row r="80" spans="1:11" x14ac:dyDescent="0.2">
      <c r="B80" s="1" t="s">
        <v>71</v>
      </c>
    </row>
    <row r="81" spans="1:11" x14ac:dyDescent="0.2">
      <c r="K81" s="1"/>
    </row>
    <row r="82" spans="1:11" x14ac:dyDescent="0.2">
      <c r="B82" s="1" t="s">
        <v>72</v>
      </c>
      <c r="K82" s="1"/>
    </row>
    <row r="83" spans="1:11" x14ac:dyDescent="0.2">
      <c r="C83" s="1" t="s">
        <v>73</v>
      </c>
      <c r="K83" s="1"/>
    </row>
    <row r="84" spans="1:11" x14ac:dyDescent="0.2">
      <c r="C84" s="1" t="s">
        <v>74</v>
      </c>
      <c r="K84" s="5" t="s">
        <v>262</v>
      </c>
    </row>
    <row r="85" spans="1:11" x14ac:dyDescent="0.2">
      <c r="C85" s="1" t="s">
        <v>75</v>
      </c>
      <c r="K85" s="5" t="s">
        <v>263</v>
      </c>
    </row>
    <row r="86" spans="1:11" ht="16" thickBot="1" x14ac:dyDescent="0.25">
      <c r="K86" s="5"/>
    </row>
    <row r="87" spans="1:11" ht="16" thickBot="1" x14ac:dyDescent="0.25">
      <c r="B87" s="11"/>
      <c r="C87" s="12"/>
      <c r="D87" s="12"/>
      <c r="E87" s="12"/>
      <c r="F87" s="12"/>
      <c r="G87" s="12"/>
      <c r="H87" s="13"/>
      <c r="K87" s="5"/>
    </row>
    <row r="88" spans="1:11" x14ac:dyDescent="0.2">
      <c r="K88" s="5"/>
    </row>
    <row r="89" spans="1:11" x14ac:dyDescent="0.2">
      <c r="A89" s="1" t="s">
        <v>76</v>
      </c>
      <c r="K89" s="5" t="s">
        <v>77</v>
      </c>
    </row>
    <row r="90" spans="1:11" x14ac:dyDescent="0.2">
      <c r="B90" s="1" t="s">
        <v>78</v>
      </c>
    </row>
    <row r="91" spans="1:11" x14ac:dyDescent="0.2">
      <c r="B91" s="1" t="s">
        <v>79</v>
      </c>
    </row>
    <row r="92" spans="1:11" x14ac:dyDescent="0.2">
      <c r="B92" s="1" t="s">
        <v>80</v>
      </c>
    </row>
    <row r="93" spans="1:11" x14ac:dyDescent="0.2">
      <c r="B93" s="1" t="s">
        <v>81</v>
      </c>
    </row>
    <row r="94" spans="1:11" ht="16" thickBot="1" x14ac:dyDescent="0.25">
      <c r="B94" s="1" t="s">
        <v>82</v>
      </c>
    </row>
    <row r="95" spans="1:11" ht="16" thickBot="1" x14ac:dyDescent="0.25">
      <c r="B95" s="11"/>
    </row>
    <row r="97" spans="1:1" x14ac:dyDescent="0.2">
      <c r="A97" s="10" t="s">
        <v>83</v>
      </c>
    </row>
    <row r="98" spans="1:1" x14ac:dyDescent="0.2">
      <c r="A98" s="1" t="s">
        <v>264</v>
      </c>
    </row>
    <row r="99" spans="1:1" x14ac:dyDescent="0.2">
      <c r="A99" s="1" t="s">
        <v>84</v>
      </c>
    </row>
    <row r="100" spans="1:1" x14ac:dyDescent="0.2">
      <c r="A100" s="2" t="s">
        <v>85</v>
      </c>
    </row>
    <row r="102" spans="1:1" x14ac:dyDescent="0.2">
      <c r="A102" s="14" t="s">
        <v>86</v>
      </c>
    </row>
    <row r="103" spans="1:1" x14ac:dyDescent="0.2">
      <c r="A103" s="1" t="s">
        <v>87</v>
      </c>
    </row>
    <row r="104" spans="1:1" x14ac:dyDescent="0.2">
      <c r="A104" s="1" t="s">
        <v>88</v>
      </c>
    </row>
    <row r="105" spans="1:1" x14ac:dyDescent="0.2">
      <c r="A105" s="1" t="s">
        <v>89</v>
      </c>
    </row>
    <row r="106" spans="1:1" x14ac:dyDescent="0.2">
      <c r="A106" s="1" t="s">
        <v>90</v>
      </c>
    </row>
    <row r="107" spans="1:1" x14ac:dyDescent="0.2">
      <c r="A107" s="1" t="s">
        <v>91</v>
      </c>
    </row>
  </sheetData>
  <mergeCells count="1">
    <mergeCell ref="A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E5AA0"/>
  </sheetPr>
  <dimension ref="A1:N59"/>
  <sheetViews>
    <sheetView showGridLines="0" zoomScale="90" zoomScaleNormal="90" workbookViewId="0">
      <pane xSplit="2" ySplit="4" topLeftCell="C5" activePane="bottomRight" state="frozen"/>
      <selection pane="topRight" activeCell="C7" sqref="C7"/>
      <selection pane="bottomLeft" activeCell="C7" sqref="C7"/>
      <selection pane="bottomRight" activeCell="D5" sqref="D5:D59"/>
    </sheetView>
  </sheetViews>
  <sheetFormatPr baseColWidth="10" defaultColWidth="8.83203125" defaultRowHeight="15" x14ac:dyDescent="0.2"/>
  <cols>
    <col min="1" max="1" width="4.33203125" style="52" customWidth="1"/>
    <col min="2" max="2" width="12" style="3" customWidth="1"/>
    <col min="3" max="3" width="92.1640625" style="3" bestFit="1" customWidth="1"/>
    <col min="4" max="4" width="20.33203125" style="3" customWidth="1"/>
    <col min="5" max="5" width="8.1640625" style="3" customWidth="1"/>
    <col min="6" max="11" width="8.83203125" style="3"/>
    <col min="12" max="12" width="60.83203125" style="3" bestFit="1" customWidth="1"/>
    <col min="13" max="16384" width="8.83203125" style="3"/>
  </cols>
  <sheetData>
    <row r="1" spans="1:14" ht="19" x14ac:dyDescent="0.25">
      <c r="A1" s="16" t="s">
        <v>92</v>
      </c>
    </row>
    <row r="2" spans="1:14" ht="19" x14ac:dyDescent="0.25">
      <c r="A2" s="47" t="s">
        <v>93</v>
      </c>
    </row>
    <row r="3" spans="1:14" x14ac:dyDescent="0.2">
      <c r="A3" s="3"/>
    </row>
    <row r="4" spans="1:14" s="4" customFormat="1" x14ac:dyDescent="0.2">
      <c r="A4" s="48" t="s">
        <v>94</v>
      </c>
      <c r="B4" s="22" t="s">
        <v>95</v>
      </c>
      <c r="C4" s="22" t="s">
        <v>96</v>
      </c>
      <c r="D4" s="22" t="s">
        <v>97</v>
      </c>
      <c r="E4" s="22" t="s">
        <v>98</v>
      </c>
    </row>
    <row r="5" spans="1:14" x14ac:dyDescent="0.2">
      <c r="A5" s="49">
        <v>1</v>
      </c>
      <c r="B5" s="44" t="s">
        <v>99</v>
      </c>
      <c r="C5" s="44" t="s">
        <v>100</v>
      </c>
      <c r="D5" s="50" t="s">
        <v>109</v>
      </c>
      <c r="E5" s="44">
        <f>IF(D5="No / None",0,IF(D5="Ad hoc / Informal",1,IF(D5="Partial / Infrequent",2,IF(D5="Formal",3,IF(D5="Embedded",4,"")))))</f>
        <v>3</v>
      </c>
      <c r="L5" s="4" t="s">
        <v>101</v>
      </c>
      <c r="M5" s="4"/>
      <c r="N5" s="4"/>
    </row>
    <row r="6" spans="1:14" x14ac:dyDescent="0.2">
      <c r="A6" s="49">
        <v>2</v>
      </c>
      <c r="B6" s="44" t="s">
        <v>99</v>
      </c>
      <c r="C6" s="44" t="s">
        <v>102</v>
      </c>
      <c r="D6" s="50" t="s">
        <v>109</v>
      </c>
      <c r="E6" s="44">
        <f t="shared" ref="E6:E59" si="0">IF(D6="No / None",0,IF(D6="Ad hoc / Informal",1,IF(D6="Partial / Infrequent",2,IF(D6="Formal",3,IF(D6="Embedded",4,"")))))</f>
        <v>3</v>
      </c>
      <c r="G6" s="3" t="s">
        <v>103</v>
      </c>
      <c r="L6" s="3" t="s">
        <v>104</v>
      </c>
    </row>
    <row r="7" spans="1:14" x14ac:dyDescent="0.2">
      <c r="A7" s="49">
        <v>3</v>
      </c>
      <c r="B7" s="44" t="s">
        <v>99</v>
      </c>
      <c r="C7" s="44" t="s">
        <v>105</v>
      </c>
      <c r="D7" s="50" t="s">
        <v>109</v>
      </c>
      <c r="E7" s="44">
        <f t="shared" si="0"/>
        <v>3</v>
      </c>
      <c r="G7" s="3" t="s">
        <v>106</v>
      </c>
      <c r="L7" s="3" t="s">
        <v>107</v>
      </c>
    </row>
    <row r="8" spans="1:14" x14ac:dyDescent="0.2">
      <c r="A8" s="49">
        <v>4</v>
      </c>
      <c r="B8" s="44" t="s">
        <v>99</v>
      </c>
      <c r="C8" s="44" t="s">
        <v>108</v>
      </c>
      <c r="D8" s="50" t="s">
        <v>109</v>
      </c>
      <c r="E8" s="44">
        <f t="shared" si="0"/>
        <v>3</v>
      </c>
      <c r="G8" s="3" t="s">
        <v>110</v>
      </c>
      <c r="L8" s="3" t="s">
        <v>111</v>
      </c>
    </row>
    <row r="9" spans="1:14" x14ac:dyDescent="0.2">
      <c r="A9" s="49">
        <v>5</v>
      </c>
      <c r="B9" s="44" t="s">
        <v>99</v>
      </c>
      <c r="C9" s="44" t="s">
        <v>112</v>
      </c>
      <c r="D9" s="50" t="s">
        <v>109</v>
      </c>
      <c r="E9" s="44">
        <f t="shared" si="0"/>
        <v>3</v>
      </c>
    </row>
    <row r="10" spans="1:14" x14ac:dyDescent="0.2">
      <c r="A10" s="51">
        <v>6</v>
      </c>
      <c r="B10" s="43" t="s">
        <v>113</v>
      </c>
      <c r="C10" s="43" t="s">
        <v>114</v>
      </c>
      <c r="D10" s="50" t="s">
        <v>109</v>
      </c>
      <c r="E10" s="43">
        <f t="shared" si="0"/>
        <v>3</v>
      </c>
      <c r="L10" s="4" t="s">
        <v>115</v>
      </c>
    </row>
    <row r="11" spans="1:14" x14ac:dyDescent="0.2">
      <c r="A11" s="51">
        <v>7</v>
      </c>
      <c r="B11" s="43" t="s">
        <v>113</v>
      </c>
      <c r="C11" s="43" t="s">
        <v>116</v>
      </c>
      <c r="D11" s="50" t="s">
        <v>109</v>
      </c>
      <c r="E11" s="43">
        <f t="shared" si="0"/>
        <v>3</v>
      </c>
      <c r="L11" s="3" t="s">
        <v>117</v>
      </c>
    </row>
    <row r="12" spans="1:14" x14ac:dyDescent="0.2">
      <c r="A12" s="51">
        <v>8</v>
      </c>
      <c r="B12" s="43" t="s">
        <v>113</v>
      </c>
      <c r="C12" s="43" t="s">
        <v>118</v>
      </c>
      <c r="D12" s="50" t="s">
        <v>109</v>
      </c>
      <c r="E12" s="43">
        <f t="shared" si="0"/>
        <v>3</v>
      </c>
      <c r="L12" s="3" t="s">
        <v>119</v>
      </c>
    </row>
    <row r="13" spans="1:14" x14ac:dyDescent="0.2">
      <c r="A13" s="51">
        <v>9</v>
      </c>
      <c r="B13" s="43" t="s">
        <v>113</v>
      </c>
      <c r="C13" s="43" t="s">
        <v>120</v>
      </c>
      <c r="D13" s="50" t="s">
        <v>109</v>
      </c>
      <c r="E13" s="43">
        <f t="shared" si="0"/>
        <v>3</v>
      </c>
    </row>
    <row r="14" spans="1:14" x14ac:dyDescent="0.2">
      <c r="A14" s="51">
        <v>10</v>
      </c>
      <c r="B14" s="43" t="s">
        <v>113</v>
      </c>
      <c r="C14" s="43" t="s">
        <v>121</v>
      </c>
      <c r="D14" s="50" t="s">
        <v>109</v>
      </c>
      <c r="E14" s="43">
        <f t="shared" si="0"/>
        <v>3</v>
      </c>
      <c r="L14" s="4" t="s">
        <v>122</v>
      </c>
    </row>
    <row r="15" spans="1:14" x14ac:dyDescent="0.2">
      <c r="A15" s="51">
        <v>11</v>
      </c>
      <c r="B15" s="43" t="s">
        <v>113</v>
      </c>
      <c r="C15" s="43" t="s">
        <v>123</v>
      </c>
      <c r="D15" s="50" t="s">
        <v>109</v>
      </c>
      <c r="E15" s="43">
        <f t="shared" si="0"/>
        <v>3</v>
      </c>
      <c r="L15" s="3" t="s">
        <v>124</v>
      </c>
    </row>
    <row r="16" spans="1:14" x14ac:dyDescent="0.2">
      <c r="A16" s="51">
        <v>12</v>
      </c>
      <c r="B16" s="43" t="s">
        <v>113</v>
      </c>
      <c r="C16" s="43" t="s">
        <v>125</v>
      </c>
      <c r="D16" s="50" t="s">
        <v>109</v>
      </c>
      <c r="E16" s="43">
        <f t="shared" si="0"/>
        <v>3</v>
      </c>
      <c r="L16" s="3" t="s">
        <v>126</v>
      </c>
    </row>
    <row r="17" spans="1:12" x14ac:dyDescent="0.2">
      <c r="A17" s="49">
        <v>13</v>
      </c>
      <c r="B17" s="44" t="s">
        <v>127</v>
      </c>
      <c r="C17" s="44" t="s">
        <v>128</v>
      </c>
      <c r="D17" s="50" t="s">
        <v>109</v>
      </c>
      <c r="E17" s="44">
        <f t="shared" si="0"/>
        <v>3</v>
      </c>
    </row>
    <row r="18" spans="1:12" x14ac:dyDescent="0.2">
      <c r="A18" s="49">
        <v>14</v>
      </c>
      <c r="B18" s="44" t="s">
        <v>127</v>
      </c>
      <c r="C18" s="44" t="s">
        <v>129</v>
      </c>
      <c r="D18" s="50" t="s">
        <v>109</v>
      </c>
      <c r="E18" s="44">
        <f t="shared" si="0"/>
        <v>3</v>
      </c>
      <c r="L18" s="4" t="s">
        <v>130</v>
      </c>
    </row>
    <row r="19" spans="1:12" x14ac:dyDescent="0.2">
      <c r="A19" s="49">
        <v>15</v>
      </c>
      <c r="B19" s="44" t="s">
        <v>127</v>
      </c>
      <c r="C19" s="44" t="s">
        <v>131</v>
      </c>
      <c r="D19" s="50" t="s">
        <v>109</v>
      </c>
      <c r="E19" s="44">
        <f t="shared" si="0"/>
        <v>3</v>
      </c>
      <c r="L19" s="3" t="s">
        <v>132</v>
      </c>
    </row>
    <row r="20" spans="1:12" x14ac:dyDescent="0.2">
      <c r="A20" s="49">
        <v>16</v>
      </c>
      <c r="B20" s="44" t="s">
        <v>127</v>
      </c>
      <c r="C20" s="44" t="s">
        <v>133</v>
      </c>
      <c r="D20" s="50" t="s">
        <v>109</v>
      </c>
      <c r="E20" s="44">
        <f t="shared" si="0"/>
        <v>3</v>
      </c>
      <c r="L20" s="3" t="s">
        <v>134</v>
      </c>
    </row>
    <row r="21" spans="1:12" x14ac:dyDescent="0.2">
      <c r="A21" s="49">
        <v>17</v>
      </c>
      <c r="B21" s="44" t="s">
        <v>127</v>
      </c>
      <c r="C21" s="44" t="s">
        <v>135</v>
      </c>
      <c r="D21" s="50" t="s">
        <v>109</v>
      </c>
      <c r="E21" s="44">
        <f t="shared" si="0"/>
        <v>3</v>
      </c>
      <c r="L21" s="3" t="s">
        <v>136</v>
      </c>
    </row>
    <row r="22" spans="1:12" x14ac:dyDescent="0.2">
      <c r="A22" s="49">
        <v>18</v>
      </c>
      <c r="B22" s="44" t="s">
        <v>127</v>
      </c>
      <c r="C22" s="44" t="s">
        <v>137</v>
      </c>
      <c r="D22" s="50" t="s">
        <v>109</v>
      </c>
      <c r="E22" s="44">
        <f t="shared" si="0"/>
        <v>3</v>
      </c>
      <c r="L22" s="3" t="s">
        <v>139</v>
      </c>
    </row>
    <row r="23" spans="1:12" x14ac:dyDescent="0.2">
      <c r="A23" s="49">
        <v>19</v>
      </c>
      <c r="B23" s="44" t="s">
        <v>127</v>
      </c>
      <c r="C23" s="44" t="s">
        <v>140</v>
      </c>
      <c r="D23" s="50" t="s">
        <v>109</v>
      </c>
      <c r="E23" s="44">
        <f t="shared" si="0"/>
        <v>3</v>
      </c>
      <c r="L23" s="3" t="s">
        <v>141</v>
      </c>
    </row>
    <row r="24" spans="1:12" x14ac:dyDescent="0.2">
      <c r="A24" s="49">
        <v>20</v>
      </c>
      <c r="B24" s="44" t="s">
        <v>127</v>
      </c>
      <c r="C24" s="44" t="s">
        <v>142</v>
      </c>
      <c r="D24" s="50" t="s">
        <v>109</v>
      </c>
      <c r="E24" s="44">
        <f t="shared" si="0"/>
        <v>3</v>
      </c>
    </row>
    <row r="25" spans="1:12" x14ac:dyDescent="0.2">
      <c r="A25" s="49">
        <v>21</v>
      </c>
      <c r="B25" s="44" t="s">
        <v>127</v>
      </c>
      <c r="C25" s="44" t="s">
        <v>143</v>
      </c>
      <c r="D25" s="50" t="s">
        <v>109</v>
      </c>
      <c r="E25" s="44">
        <f t="shared" si="0"/>
        <v>3</v>
      </c>
      <c r="L25" s="4" t="s">
        <v>144</v>
      </c>
    </row>
    <row r="26" spans="1:12" x14ac:dyDescent="0.2">
      <c r="A26" s="49">
        <v>22</v>
      </c>
      <c r="B26" s="44" t="s">
        <v>127</v>
      </c>
      <c r="C26" s="44" t="s">
        <v>145</v>
      </c>
      <c r="D26" s="50" t="s">
        <v>109</v>
      </c>
      <c r="E26" s="44">
        <f t="shared" si="0"/>
        <v>3</v>
      </c>
      <c r="L26" s="3" t="s">
        <v>146</v>
      </c>
    </row>
    <row r="27" spans="1:12" x14ac:dyDescent="0.2">
      <c r="A27" s="49">
        <v>23</v>
      </c>
      <c r="B27" s="44" t="s">
        <v>127</v>
      </c>
      <c r="C27" s="44" t="s">
        <v>147</v>
      </c>
      <c r="D27" s="50" t="s">
        <v>109</v>
      </c>
      <c r="E27" s="44">
        <f t="shared" si="0"/>
        <v>3</v>
      </c>
      <c r="L27" s="3" t="s">
        <v>148</v>
      </c>
    </row>
    <row r="28" spans="1:12" x14ac:dyDescent="0.2">
      <c r="A28" s="51">
        <v>24</v>
      </c>
      <c r="B28" s="43" t="s">
        <v>149</v>
      </c>
      <c r="C28" s="43" t="s">
        <v>150</v>
      </c>
      <c r="D28" s="50" t="s">
        <v>109</v>
      </c>
      <c r="E28" s="43">
        <f t="shared" si="0"/>
        <v>3</v>
      </c>
      <c r="L28" s="3" t="s">
        <v>151</v>
      </c>
    </row>
    <row r="29" spans="1:12" x14ac:dyDescent="0.2">
      <c r="A29" s="51">
        <v>25</v>
      </c>
      <c r="B29" s="43" t="s">
        <v>149</v>
      </c>
      <c r="C29" s="43" t="s">
        <v>152</v>
      </c>
      <c r="D29" s="50" t="s">
        <v>109</v>
      </c>
      <c r="E29" s="43">
        <f t="shared" si="0"/>
        <v>3</v>
      </c>
      <c r="L29" s="3" t="s">
        <v>153</v>
      </c>
    </row>
    <row r="30" spans="1:12" x14ac:dyDescent="0.2">
      <c r="A30" s="51">
        <v>26</v>
      </c>
      <c r="B30" s="43" t="s">
        <v>149</v>
      </c>
      <c r="C30" s="43" t="s">
        <v>154</v>
      </c>
      <c r="D30" s="50" t="s">
        <v>109</v>
      </c>
      <c r="E30" s="43">
        <f t="shared" si="0"/>
        <v>3</v>
      </c>
      <c r="L30" s="3" t="s">
        <v>155</v>
      </c>
    </row>
    <row r="31" spans="1:12" x14ac:dyDescent="0.2">
      <c r="A31" s="51">
        <v>27</v>
      </c>
      <c r="B31" s="43" t="s">
        <v>149</v>
      </c>
      <c r="C31" s="43" t="s">
        <v>156</v>
      </c>
      <c r="D31" s="50" t="s">
        <v>109</v>
      </c>
      <c r="E31" s="43">
        <f t="shared" si="0"/>
        <v>3</v>
      </c>
      <c r="L31" s="3" t="s">
        <v>157</v>
      </c>
    </row>
    <row r="32" spans="1:12" x14ac:dyDescent="0.2">
      <c r="A32" s="51">
        <v>28</v>
      </c>
      <c r="B32" s="43" t="s">
        <v>149</v>
      </c>
      <c r="C32" s="43" t="s">
        <v>158</v>
      </c>
      <c r="D32" s="50" t="s">
        <v>109</v>
      </c>
      <c r="E32" s="43">
        <f t="shared" si="0"/>
        <v>3</v>
      </c>
      <c r="L32" s="3" t="s">
        <v>159</v>
      </c>
    </row>
    <row r="33" spans="1:12" x14ac:dyDescent="0.2">
      <c r="A33" s="51">
        <v>29</v>
      </c>
      <c r="B33" s="43" t="s">
        <v>149</v>
      </c>
      <c r="C33" s="43" t="s">
        <v>160</v>
      </c>
      <c r="D33" s="50" t="s">
        <v>109</v>
      </c>
      <c r="E33" s="43">
        <f t="shared" si="0"/>
        <v>3</v>
      </c>
    </row>
    <row r="34" spans="1:12" x14ac:dyDescent="0.2">
      <c r="A34" s="51">
        <v>30</v>
      </c>
      <c r="B34" s="43" t="s">
        <v>149</v>
      </c>
      <c r="C34" s="43" t="s">
        <v>161</v>
      </c>
      <c r="D34" s="50" t="s">
        <v>109</v>
      </c>
      <c r="E34" s="43">
        <f t="shared" si="0"/>
        <v>3</v>
      </c>
      <c r="L34" s="4" t="s">
        <v>162</v>
      </c>
    </row>
    <row r="35" spans="1:12" x14ac:dyDescent="0.2">
      <c r="A35" s="51">
        <v>31</v>
      </c>
      <c r="B35" s="43" t="s">
        <v>149</v>
      </c>
      <c r="C35" s="43" t="s">
        <v>163</v>
      </c>
      <c r="D35" s="50" t="s">
        <v>109</v>
      </c>
      <c r="E35" s="43">
        <f t="shared" si="0"/>
        <v>3</v>
      </c>
      <c r="L35" s="3" t="s">
        <v>164</v>
      </c>
    </row>
    <row r="36" spans="1:12" x14ac:dyDescent="0.2">
      <c r="A36" s="49">
        <v>32</v>
      </c>
      <c r="B36" s="44" t="s">
        <v>165</v>
      </c>
      <c r="C36" s="44" t="s">
        <v>166</v>
      </c>
      <c r="D36" s="50" t="s">
        <v>109</v>
      </c>
      <c r="E36" s="44">
        <f t="shared" si="0"/>
        <v>3</v>
      </c>
      <c r="L36" s="3" t="s">
        <v>167</v>
      </c>
    </row>
    <row r="37" spans="1:12" x14ac:dyDescent="0.2">
      <c r="A37" s="49">
        <v>33</v>
      </c>
      <c r="B37" s="44" t="s">
        <v>165</v>
      </c>
      <c r="C37" s="44" t="s">
        <v>168</v>
      </c>
      <c r="D37" s="50" t="s">
        <v>109</v>
      </c>
      <c r="E37" s="44">
        <f t="shared" si="0"/>
        <v>3</v>
      </c>
      <c r="L37" s="3" t="s">
        <v>169</v>
      </c>
    </row>
    <row r="38" spans="1:12" x14ac:dyDescent="0.2">
      <c r="A38" s="49">
        <v>34</v>
      </c>
      <c r="B38" s="44" t="s">
        <v>165</v>
      </c>
      <c r="C38" s="44" t="s">
        <v>170</v>
      </c>
      <c r="D38" s="50" t="s">
        <v>109</v>
      </c>
      <c r="E38" s="44">
        <f t="shared" si="0"/>
        <v>3</v>
      </c>
      <c r="L38" s="3" t="s">
        <v>171</v>
      </c>
    </row>
    <row r="39" spans="1:12" x14ac:dyDescent="0.2">
      <c r="A39" s="49">
        <v>35</v>
      </c>
      <c r="B39" s="44" t="s">
        <v>165</v>
      </c>
      <c r="C39" s="44" t="s">
        <v>172</v>
      </c>
      <c r="D39" s="50" t="s">
        <v>109</v>
      </c>
      <c r="E39" s="44">
        <f t="shared" si="0"/>
        <v>3</v>
      </c>
      <c r="L39" s="3" t="s">
        <v>173</v>
      </c>
    </row>
    <row r="40" spans="1:12" x14ac:dyDescent="0.2">
      <c r="A40" s="49">
        <v>36</v>
      </c>
      <c r="B40" s="44" t="s">
        <v>165</v>
      </c>
      <c r="C40" s="44" t="s">
        <v>174</v>
      </c>
      <c r="D40" s="50" t="s">
        <v>109</v>
      </c>
      <c r="E40" s="44">
        <f t="shared" si="0"/>
        <v>3</v>
      </c>
      <c r="L40" s="3" t="s">
        <v>175</v>
      </c>
    </row>
    <row r="41" spans="1:12" x14ac:dyDescent="0.2">
      <c r="A41" s="49">
        <v>37</v>
      </c>
      <c r="B41" s="44" t="s">
        <v>165</v>
      </c>
      <c r="C41" s="44" t="s">
        <v>176</v>
      </c>
      <c r="D41" s="50" t="s">
        <v>109</v>
      </c>
      <c r="E41" s="44">
        <f t="shared" si="0"/>
        <v>3</v>
      </c>
    </row>
    <row r="42" spans="1:12" x14ac:dyDescent="0.2">
      <c r="A42" s="51">
        <v>38</v>
      </c>
      <c r="B42" s="43" t="s">
        <v>177</v>
      </c>
      <c r="C42" s="43" t="s">
        <v>178</v>
      </c>
      <c r="D42" s="50" t="s">
        <v>109</v>
      </c>
      <c r="E42" s="43">
        <f t="shared" si="0"/>
        <v>3</v>
      </c>
    </row>
    <row r="43" spans="1:12" x14ac:dyDescent="0.2">
      <c r="A43" s="51">
        <v>39</v>
      </c>
      <c r="B43" s="43" t="s">
        <v>177</v>
      </c>
      <c r="C43" s="43" t="s">
        <v>179</v>
      </c>
      <c r="D43" s="50" t="s">
        <v>109</v>
      </c>
      <c r="E43" s="43">
        <f t="shared" si="0"/>
        <v>3</v>
      </c>
    </row>
    <row r="44" spans="1:12" x14ac:dyDescent="0.2">
      <c r="A44" s="51">
        <v>40</v>
      </c>
      <c r="B44" s="43" t="s">
        <v>177</v>
      </c>
      <c r="C44" s="43" t="s">
        <v>180</v>
      </c>
      <c r="D44" s="50" t="s">
        <v>109</v>
      </c>
      <c r="E44" s="43">
        <f t="shared" si="0"/>
        <v>3</v>
      </c>
    </row>
    <row r="45" spans="1:12" x14ac:dyDescent="0.2">
      <c r="A45" s="51">
        <v>41</v>
      </c>
      <c r="B45" s="43" t="s">
        <v>177</v>
      </c>
      <c r="C45" s="43" t="s">
        <v>181</v>
      </c>
      <c r="D45" s="50" t="s">
        <v>109</v>
      </c>
      <c r="E45" s="43">
        <f t="shared" si="0"/>
        <v>3</v>
      </c>
    </row>
    <row r="46" spans="1:12" x14ac:dyDescent="0.2">
      <c r="A46" s="51">
        <v>42</v>
      </c>
      <c r="B46" s="43" t="s">
        <v>177</v>
      </c>
      <c r="C46" s="43" t="s">
        <v>182</v>
      </c>
      <c r="D46" s="50" t="s">
        <v>109</v>
      </c>
      <c r="E46" s="43">
        <f t="shared" si="0"/>
        <v>3</v>
      </c>
    </row>
    <row r="47" spans="1:12" x14ac:dyDescent="0.2">
      <c r="A47" s="51">
        <v>43</v>
      </c>
      <c r="B47" s="43" t="s">
        <v>177</v>
      </c>
      <c r="C47" s="43" t="s">
        <v>183</v>
      </c>
      <c r="D47" s="50" t="s">
        <v>109</v>
      </c>
      <c r="E47" s="43">
        <f t="shared" si="0"/>
        <v>3</v>
      </c>
    </row>
    <row r="48" spans="1:12" x14ac:dyDescent="0.2">
      <c r="A48" s="51">
        <v>44</v>
      </c>
      <c r="B48" s="43" t="s">
        <v>177</v>
      </c>
      <c r="C48" s="43" t="s">
        <v>184</v>
      </c>
      <c r="D48" s="50" t="s">
        <v>109</v>
      </c>
      <c r="E48" s="43">
        <f t="shared" si="0"/>
        <v>3</v>
      </c>
    </row>
    <row r="49" spans="1:5" x14ac:dyDescent="0.2">
      <c r="A49" s="49">
        <v>45</v>
      </c>
      <c r="B49" s="44" t="s">
        <v>185</v>
      </c>
      <c r="C49" s="44" t="s">
        <v>186</v>
      </c>
      <c r="D49" s="50" t="s">
        <v>109</v>
      </c>
      <c r="E49" s="44">
        <f t="shared" si="0"/>
        <v>3</v>
      </c>
    </row>
    <row r="50" spans="1:5" x14ac:dyDescent="0.2">
      <c r="A50" s="49">
        <v>46</v>
      </c>
      <c r="B50" s="44" t="s">
        <v>185</v>
      </c>
      <c r="C50" s="44" t="s">
        <v>187</v>
      </c>
      <c r="D50" s="50" t="s">
        <v>109</v>
      </c>
      <c r="E50" s="44">
        <f t="shared" si="0"/>
        <v>3</v>
      </c>
    </row>
    <row r="51" spans="1:5" x14ac:dyDescent="0.2">
      <c r="A51" s="49">
        <v>47</v>
      </c>
      <c r="B51" s="44" t="s">
        <v>185</v>
      </c>
      <c r="C51" s="44" t="s">
        <v>188</v>
      </c>
      <c r="D51" s="50" t="s">
        <v>109</v>
      </c>
      <c r="E51" s="44">
        <f t="shared" si="0"/>
        <v>3</v>
      </c>
    </row>
    <row r="52" spans="1:5" x14ac:dyDescent="0.2">
      <c r="A52" s="49">
        <v>48</v>
      </c>
      <c r="B52" s="44" t="s">
        <v>185</v>
      </c>
      <c r="C52" s="44" t="s">
        <v>189</v>
      </c>
      <c r="D52" s="50" t="s">
        <v>109</v>
      </c>
      <c r="E52" s="44">
        <f t="shared" si="0"/>
        <v>3</v>
      </c>
    </row>
    <row r="53" spans="1:5" x14ac:dyDescent="0.2">
      <c r="A53" s="49">
        <v>49</v>
      </c>
      <c r="B53" s="44" t="s">
        <v>185</v>
      </c>
      <c r="C53" s="44" t="s">
        <v>190</v>
      </c>
      <c r="D53" s="50" t="s">
        <v>109</v>
      </c>
      <c r="E53" s="44">
        <f t="shared" si="0"/>
        <v>3</v>
      </c>
    </row>
    <row r="54" spans="1:5" x14ac:dyDescent="0.2">
      <c r="A54" s="49">
        <v>50</v>
      </c>
      <c r="B54" s="44" t="s">
        <v>185</v>
      </c>
      <c r="C54" s="44" t="s">
        <v>191</v>
      </c>
      <c r="D54" s="50" t="s">
        <v>109</v>
      </c>
      <c r="E54" s="44">
        <f t="shared" si="0"/>
        <v>3</v>
      </c>
    </row>
    <row r="55" spans="1:5" x14ac:dyDescent="0.2">
      <c r="A55" s="51">
        <v>51</v>
      </c>
      <c r="B55" s="43" t="s">
        <v>192</v>
      </c>
      <c r="C55" s="43" t="s">
        <v>193</v>
      </c>
      <c r="D55" s="50" t="s">
        <v>109</v>
      </c>
      <c r="E55" s="43">
        <f t="shared" si="0"/>
        <v>3</v>
      </c>
    </row>
    <row r="56" spans="1:5" x14ac:dyDescent="0.2">
      <c r="A56" s="51">
        <v>52</v>
      </c>
      <c r="B56" s="43" t="s">
        <v>192</v>
      </c>
      <c r="C56" s="43" t="s">
        <v>194</v>
      </c>
      <c r="D56" s="50" t="s">
        <v>109</v>
      </c>
      <c r="E56" s="43">
        <f t="shared" si="0"/>
        <v>3</v>
      </c>
    </row>
    <row r="57" spans="1:5" x14ac:dyDescent="0.2">
      <c r="A57" s="51">
        <v>53</v>
      </c>
      <c r="B57" s="43" t="s">
        <v>192</v>
      </c>
      <c r="C57" s="43" t="s">
        <v>195</v>
      </c>
      <c r="D57" s="50" t="s">
        <v>109</v>
      </c>
      <c r="E57" s="43">
        <f t="shared" si="0"/>
        <v>3</v>
      </c>
    </row>
    <row r="58" spans="1:5" x14ac:dyDescent="0.2">
      <c r="A58" s="51">
        <v>54</v>
      </c>
      <c r="B58" s="43" t="s">
        <v>192</v>
      </c>
      <c r="C58" s="43" t="s">
        <v>196</v>
      </c>
      <c r="D58" s="50" t="s">
        <v>109</v>
      </c>
      <c r="E58" s="43">
        <f t="shared" si="0"/>
        <v>3</v>
      </c>
    </row>
    <row r="59" spans="1:5" x14ac:dyDescent="0.2">
      <c r="A59" s="51">
        <v>55</v>
      </c>
      <c r="B59" s="43" t="s">
        <v>192</v>
      </c>
      <c r="C59" s="43" t="s">
        <v>197</v>
      </c>
      <c r="D59" s="50" t="s">
        <v>109</v>
      </c>
      <c r="E59" s="43">
        <f t="shared" si="0"/>
        <v>3</v>
      </c>
    </row>
  </sheetData>
  <dataValidations count="1">
    <dataValidation type="list" sqref="D5:D59" xr:uid="{0E9E3C96-11DF-E545-BB3D-A14D437D3B56}">
      <formula1>"No / None,Ad hoc / Informal,Partial / Infrequent,Formal,Embedded,N/A"</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5AA0"/>
  </sheetPr>
  <dimension ref="A1:H27"/>
  <sheetViews>
    <sheetView showGridLines="0" zoomScaleNormal="90" workbookViewId="0">
      <pane ySplit="1" topLeftCell="A2" activePane="bottomLeft" state="frozen"/>
      <selection activeCell="C7" sqref="C7"/>
      <selection pane="bottomLeft" activeCell="A7" sqref="A7"/>
    </sheetView>
  </sheetViews>
  <sheetFormatPr baseColWidth="10" defaultColWidth="8.83203125" defaultRowHeight="15" x14ac:dyDescent="0.2"/>
  <cols>
    <col min="1" max="5" width="20.33203125" style="1" customWidth="1"/>
    <col min="6" max="6" width="16" style="1" bestFit="1" customWidth="1"/>
    <col min="7" max="16384" width="8.83203125" style="1"/>
  </cols>
  <sheetData>
    <row r="1" spans="1:8" ht="19" x14ac:dyDescent="0.25">
      <c r="A1" s="16" t="s">
        <v>198</v>
      </c>
    </row>
    <row r="2" spans="1:8" ht="14.5" customHeight="1" x14ac:dyDescent="0.2">
      <c r="A2" s="41" t="s">
        <v>199</v>
      </c>
      <c r="B2" s="42"/>
      <c r="C2" s="42"/>
      <c r="F2" s="1" t="s">
        <v>271</v>
      </c>
      <c r="G2" s="1">
        <f>MAX(F5:F20)</f>
        <v>0.3</v>
      </c>
    </row>
    <row r="3" spans="1:8" ht="14.5" customHeight="1" x14ac:dyDescent="0.2">
      <c r="A3" s="41" t="s">
        <v>200</v>
      </c>
      <c r="B3" s="42"/>
      <c r="C3" s="42"/>
    </row>
    <row r="4" spans="1:8" ht="14.5" customHeight="1" x14ac:dyDescent="0.2">
      <c r="A4" s="42"/>
      <c r="B4" s="42"/>
      <c r="C4" s="42"/>
    </row>
    <row r="5" spans="1:8" x14ac:dyDescent="0.2">
      <c r="A5" s="22" t="s">
        <v>201</v>
      </c>
      <c r="B5" s="22" t="s">
        <v>202</v>
      </c>
      <c r="C5" s="22" t="s">
        <v>203</v>
      </c>
      <c r="D5" s="22" t="s">
        <v>204</v>
      </c>
      <c r="E5" s="22" t="s">
        <v>205</v>
      </c>
      <c r="F5" s="71" t="s">
        <v>269</v>
      </c>
      <c r="H5" s="5" t="s">
        <v>257</v>
      </c>
    </row>
    <row r="6" spans="1:8" x14ac:dyDescent="0.2">
      <c r="A6" s="43" t="s">
        <v>206</v>
      </c>
      <c r="B6" s="44" t="s">
        <v>270</v>
      </c>
      <c r="C6" s="44">
        <f>IF(B6="Low",1,IF(B6="Moderate",1.2,IF(B6="Elevated",1.5,IF(B6="Severe",1.8,""))))</f>
        <v>1.8</v>
      </c>
      <c r="D6" s="45">
        <f>IF(C6="", "", 'Step4. Dashboard'!$B$11/C6)</f>
        <v>0.41666666666666663</v>
      </c>
      <c r="E6" s="44" t="str">
        <f>IF(D6="","",IF(D6&lt;0.5,"Not sufficient",IF(D6&lt;0.7,"Needs strengthening","Suitable")))</f>
        <v>Not sufficient</v>
      </c>
      <c r="F6" s="1">
        <f>IF(B5="Low",0,IF(B6="Moderate",0.1,IF(B6="Elevated",0.2,IF(B6="Severe",0.3,""))))</f>
        <v>0.3</v>
      </c>
      <c r="G6" s="5" t="s">
        <v>267</v>
      </c>
    </row>
    <row r="7" spans="1:8" x14ac:dyDescent="0.2">
      <c r="A7" s="43"/>
      <c r="B7" s="44"/>
      <c r="C7" s="44" t="str">
        <f>IF(B7="Low",1,IF(B7="Moderate",1.2,IF(B7="Elevated",1.5,IF(B7="Severe",1.8,""))))</f>
        <v/>
      </c>
      <c r="D7" s="45" t="str">
        <f>IF(C7="", "", 'Step4. Dashboard'!$B$11/C7)</f>
        <v/>
      </c>
      <c r="E7" s="44" t="str">
        <f>IF(D7="","",IF(D7&lt;0.5,"Not sufficient",IF(D7&lt;0.7,"Needs strengthening","Suitable")))</f>
        <v/>
      </c>
      <c r="F7" s="1" t="str">
        <f t="shared" ref="F7:F8" si="0">IF(B6="Low",0,IF(B7="Moderate",0.1,IF(B7="Elevated",0.2,IF(B7="Severe",0.3,""))))</f>
        <v/>
      </c>
    </row>
    <row r="8" spans="1:8" x14ac:dyDescent="0.2">
      <c r="A8" s="43"/>
      <c r="B8" s="44"/>
      <c r="C8" s="44" t="str">
        <f>IF(B8="Low",1,IF(B8="Moderate",1.2,IF(B8="Elevated",1.5,IF(B8="Severe",1.8,""))))</f>
        <v/>
      </c>
      <c r="D8" s="45" t="str">
        <f>IF(C8="", "", 'Step4. Dashboard'!$B$11/C8)</f>
        <v/>
      </c>
      <c r="E8" s="44" t="str">
        <f>IF(D8="","",IF(D8&lt;0.5,"Not sufficient",IF(D8&lt;0.7,"Needs strengthening","Suitable")))</f>
        <v/>
      </c>
      <c r="F8" s="1" t="str">
        <f t="shared" si="0"/>
        <v/>
      </c>
      <c r="G8" s="5"/>
    </row>
    <row r="9" spans="1:8" x14ac:dyDescent="0.2">
      <c r="C9" s="1" t="str">
        <f t="shared" ref="C9:C15" si="1">IF(B9="Low",1,IF(B9="Moderate",1.2,IF(B9="Elevated",1.5,IF(B9="Severe",1.8,""))))</f>
        <v/>
      </c>
      <c r="D9" s="46" t="str">
        <f>IF(C9="", "", 'Step4. Dashboard'!$B$11/C9)</f>
        <v/>
      </c>
      <c r="E9" s="1" t="str">
        <f t="shared" ref="E9:E27" si="2">IF(D9="","",IF(D9&lt;0.5,"Not sufficient",IF(D9&lt;0.7,"Needs strengthening","Suitable")))</f>
        <v/>
      </c>
    </row>
    <row r="10" spans="1:8" x14ac:dyDescent="0.2">
      <c r="C10" s="1" t="str">
        <f t="shared" si="1"/>
        <v/>
      </c>
      <c r="D10" s="46" t="str">
        <f>IF(C10="", "", 'Step4. Dashboard'!$B$11/C10)</f>
        <v/>
      </c>
      <c r="E10" s="1" t="str">
        <f t="shared" si="2"/>
        <v/>
      </c>
    </row>
    <row r="11" spans="1:8" x14ac:dyDescent="0.2">
      <c r="C11" s="1" t="str">
        <f t="shared" si="1"/>
        <v/>
      </c>
      <c r="D11" s="46" t="str">
        <f>IF(C11="", "", 'Step4. Dashboard'!$B$11/C11)</f>
        <v/>
      </c>
      <c r="E11" s="1" t="str">
        <f t="shared" si="2"/>
        <v/>
      </c>
    </row>
    <row r="12" spans="1:8" x14ac:dyDescent="0.2">
      <c r="C12" s="1" t="str">
        <f t="shared" si="1"/>
        <v/>
      </c>
      <c r="D12" s="46" t="str">
        <f>IF(C12="", "", 'Step4. Dashboard'!$B$11/C12)</f>
        <v/>
      </c>
      <c r="E12" s="1" t="str">
        <f t="shared" si="2"/>
        <v/>
      </c>
    </row>
    <row r="13" spans="1:8" x14ac:dyDescent="0.2">
      <c r="C13" s="1" t="str">
        <f t="shared" si="1"/>
        <v/>
      </c>
      <c r="D13" s="46" t="str">
        <f>IF(C13="", "", 'Step4. Dashboard'!$B$11/C13)</f>
        <v/>
      </c>
      <c r="E13" s="1" t="str">
        <f t="shared" si="2"/>
        <v/>
      </c>
    </row>
    <row r="14" spans="1:8" x14ac:dyDescent="0.2">
      <c r="C14" s="1" t="str">
        <f t="shared" si="1"/>
        <v/>
      </c>
      <c r="D14" s="46" t="str">
        <f>IF(C14="", "", 'Step4. Dashboard'!$B$11/C14)</f>
        <v/>
      </c>
      <c r="E14" s="1" t="str">
        <f t="shared" si="2"/>
        <v/>
      </c>
    </row>
    <row r="15" spans="1:8" x14ac:dyDescent="0.2">
      <c r="C15" s="1" t="str">
        <f t="shared" si="1"/>
        <v/>
      </c>
      <c r="D15" s="46" t="str">
        <f>IF(C15="", "", 'Step4. Dashboard'!$B$11/C15)</f>
        <v/>
      </c>
      <c r="E15" s="1" t="str">
        <f t="shared" si="2"/>
        <v/>
      </c>
    </row>
    <row r="16" spans="1:8" x14ac:dyDescent="0.2">
      <c r="D16" s="46" t="str">
        <f>IF(C16="", "", 'Step4. Dashboard'!$B$11/C16)</f>
        <v/>
      </c>
      <c r="E16" s="1" t="str">
        <f t="shared" si="2"/>
        <v/>
      </c>
    </row>
    <row r="17" spans="4:5" x14ac:dyDescent="0.2">
      <c r="D17" s="46" t="str">
        <f>IF(C17="", "", 'Step4. Dashboard'!$B$11/C17)</f>
        <v/>
      </c>
      <c r="E17" s="1" t="str">
        <f t="shared" si="2"/>
        <v/>
      </c>
    </row>
    <row r="18" spans="4:5" x14ac:dyDescent="0.2">
      <c r="D18" s="46" t="str">
        <f>IF(C18="", "", 'Step4. Dashboard'!$B$11/C18)</f>
        <v/>
      </c>
      <c r="E18" s="1" t="str">
        <f t="shared" si="2"/>
        <v/>
      </c>
    </row>
    <row r="19" spans="4:5" x14ac:dyDescent="0.2">
      <c r="D19" s="46" t="str">
        <f>IF(C19="", "", 'Step4. Dashboard'!$B$11/C19)</f>
        <v/>
      </c>
      <c r="E19" s="1" t="str">
        <f t="shared" si="2"/>
        <v/>
      </c>
    </row>
    <row r="20" spans="4:5" x14ac:dyDescent="0.2">
      <c r="D20" s="46" t="str">
        <f>IF(C20="", "", 'Step4. Dashboard'!$B$11/C20)</f>
        <v/>
      </c>
      <c r="E20" s="1" t="str">
        <f t="shared" si="2"/>
        <v/>
      </c>
    </row>
    <row r="21" spans="4:5" x14ac:dyDescent="0.2">
      <c r="D21" s="46" t="str">
        <f>IF(C21="", "", 'Step4. Dashboard'!$B$11/C21)</f>
        <v/>
      </c>
      <c r="E21" s="1" t="str">
        <f t="shared" si="2"/>
        <v/>
      </c>
    </row>
    <row r="22" spans="4:5" x14ac:dyDescent="0.2">
      <c r="D22" s="46" t="str">
        <f>IF(C22="", "", 'Step4. Dashboard'!$B$11/C22)</f>
        <v/>
      </c>
      <c r="E22" s="1" t="str">
        <f t="shared" si="2"/>
        <v/>
      </c>
    </row>
    <row r="23" spans="4:5" x14ac:dyDescent="0.2">
      <c r="D23" s="46" t="str">
        <f>IF(C23="", "", 'Step4. Dashboard'!#REF!/C23)</f>
        <v/>
      </c>
      <c r="E23" s="1" t="str">
        <f t="shared" si="2"/>
        <v/>
      </c>
    </row>
    <row r="24" spans="4:5" x14ac:dyDescent="0.2">
      <c r="D24" s="1" t="str">
        <f>IF(C24="", "", 'Step4. Dashboard'!#REF!/C24)</f>
        <v/>
      </c>
      <c r="E24" s="1" t="str">
        <f t="shared" si="2"/>
        <v/>
      </c>
    </row>
    <row r="25" spans="4:5" x14ac:dyDescent="0.2">
      <c r="D25" s="1" t="str">
        <f>IF(C25="", "", 'Step4. Dashboard'!#REF!/C25)</f>
        <v/>
      </c>
      <c r="E25" s="1" t="str">
        <f t="shared" si="2"/>
        <v/>
      </c>
    </row>
    <row r="26" spans="4:5" x14ac:dyDescent="0.2">
      <c r="D26" s="1" t="str">
        <f>IF(C26="", "", 'Step4. Dashboard'!#REF!/C26)</f>
        <v/>
      </c>
      <c r="E26" s="1" t="str">
        <f t="shared" si="2"/>
        <v/>
      </c>
    </row>
    <row r="27" spans="4:5" x14ac:dyDescent="0.2">
      <c r="D27" s="1" t="str">
        <f>IF(C27="", "", 'Step4. Dashboard'!#REF!/C27)</f>
        <v/>
      </c>
      <c r="E27" s="1" t="str">
        <f t="shared" si="2"/>
        <v/>
      </c>
    </row>
  </sheetData>
  <dataValidations count="1">
    <dataValidation type="list" allowBlank="1" showInputMessage="1" showErrorMessage="1" sqref="B6:B21" xr:uid="{520AA627-8558-B546-BB77-0A1DC3BE08DA}">
      <formula1>"Low, Moderate, Elevated, Severe"</formula1>
    </dataValidation>
  </dataValidations>
  <pageMargins left="0.75" right="0.75" top="1" bottom="1" header="0.5" footer="0.5"/>
  <pageSetup paperSize="9" orientation="portrait" horizontalDpi="0" verticalDpi="0"/>
  <headerFooter>
    <oddHeader>&amp;LNote: Country-adjusted readiness provides country-specific context and does not affect overall adjusted readiness score.</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E5AA0"/>
  </sheetPr>
  <dimension ref="A1:E9"/>
  <sheetViews>
    <sheetView showGridLines="0" zoomScale="90" zoomScaleNormal="90" zoomScaleSheetLayoutView="90" workbookViewId="0">
      <pane ySplit="1" topLeftCell="A3" activePane="bottomLeft" state="frozen"/>
      <selection activeCell="C7" sqref="C7"/>
      <selection pane="bottomLeft" activeCell="B5" sqref="B5"/>
    </sheetView>
  </sheetViews>
  <sheetFormatPr baseColWidth="10" defaultColWidth="8.83203125" defaultRowHeight="15" x14ac:dyDescent="0.2"/>
  <cols>
    <col min="1" max="1" width="76" style="33" customWidth="1"/>
    <col min="2" max="2" width="23.33203125" style="40" customWidth="1"/>
    <col min="3" max="16384" width="8.83203125" style="33"/>
  </cols>
  <sheetData>
    <row r="1" spans="1:5" s="1" customFormat="1" ht="19" x14ac:dyDescent="0.25">
      <c r="A1" s="16" t="s">
        <v>207</v>
      </c>
      <c r="B1" s="32"/>
      <c r="C1" s="32"/>
    </row>
    <row r="2" spans="1:5" x14ac:dyDescent="0.2">
      <c r="A2" s="68" t="s">
        <v>208</v>
      </c>
      <c r="B2" s="68"/>
      <c r="C2" s="68"/>
    </row>
    <row r="3" spans="1:5" x14ac:dyDescent="0.2">
      <c r="A3" s="34"/>
      <c r="B3" s="35"/>
      <c r="C3" s="36"/>
    </row>
    <row r="4" spans="1:5" x14ac:dyDescent="0.2">
      <c r="A4" s="22" t="s">
        <v>209</v>
      </c>
      <c r="B4" s="22" t="s">
        <v>210</v>
      </c>
      <c r="C4" s="22" t="s">
        <v>203</v>
      </c>
    </row>
    <row r="5" spans="1:5" ht="48" x14ac:dyDescent="0.2">
      <c r="A5" s="37" t="s">
        <v>211</v>
      </c>
      <c r="B5" s="38" t="s">
        <v>268</v>
      </c>
      <c r="C5" s="30">
        <f>IF(B5="Yes",1.8,1)</f>
        <v>1.8</v>
      </c>
      <c r="D5" s="23"/>
      <c r="E5" s="23"/>
    </row>
    <row r="6" spans="1:5" ht="80" x14ac:dyDescent="0.2">
      <c r="A6" s="37" t="s">
        <v>212</v>
      </c>
      <c r="B6" s="38" t="s">
        <v>44</v>
      </c>
      <c r="C6" s="30">
        <f>IF(B6="Single site",1,IF(B6="Multiple sites (same country)",1.2,IF(B6="Multi-country / remote operations",1.4,"")))</f>
        <v>1.4</v>
      </c>
      <c r="D6" s="23"/>
      <c r="E6" s="23"/>
    </row>
    <row r="7" spans="1:5" x14ac:dyDescent="0.2">
      <c r="A7" s="66" t="s">
        <v>213</v>
      </c>
      <c r="B7" s="67"/>
      <c r="C7" s="24">
        <f>C5 * C6</f>
        <v>2.52</v>
      </c>
      <c r="D7" s="23"/>
      <c r="E7" s="23"/>
    </row>
    <row r="8" spans="1:5" x14ac:dyDescent="0.2">
      <c r="A8" s="23"/>
      <c r="B8" s="39"/>
      <c r="C8" s="23"/>
      <c r="D8" s="23"/>
      <c r="E8" s="23"/>
    </row>
    <row r="9" spans="1:5" x14ac:dyDescent="0.2">
      <c r="A9" s="23"/>
      <c r="B9" s="39"/>
      <c r="C9" s="23"/>
      <c r="D9" s="23"/>
      <c r="E9" s="23"/>
    </row>
  </sheetData>
  <mergeCells count="2">
    <mergeCell ref="A7:B7"/>
    <mergeCell ref="A2:C2"/>
  </mergeCells>
  <dataValidations count="2">
    <dataValidation type="list" allowBlank="1" showInputMessage="1" showErrorMessage="1" sqref="B5" xr:uid="{80B8A0F5-279D-6B4E-B0E0-6A885C8DF278}">
      <formula1>"Yes, No"</formula1>
    </dataValidation>
    <dataValidation type="list" allowBlank="1" showInputMessage="1" showErrorMessage="1" sqref="B6" xr:uid="{EAA3D6BA-2902-7140-87DE-14F99ECE5B2F}">
      <formula1>"Single site,Multiple sites (same country),Multi-country / remote operations"</formula1>
    </dataValidation>
  </dataValidations>
  <pageMargins left="0.75" right="0.75" top="1" bottom="1" header="0.5" footer="0.5"/>
  <pageSetup paperSize="9" scale="7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E5AA0"/>
  </sheetPr>
  <dimension ref="A1:Q48"/>
  <sheetViews>
    <sheetView showGridLines="0" zoomScale="80" zoomScaleNormal="80" workbookViewId="0">
      <pane ySplit="1" topLeftCell="A3" activePane="bottomLeft" state="frozen"/>
      <selection activeCell="C7" sqref="C7"/>
      <selection pane="bottomLeft" activeCell="B14" sqref="B14"/>
    </sheetView>
  </sheetViews>
  <sheetFormatPr baseColWidth="10" defaultColWidth="8.83203125" defaultRowHeight="15" customHeight="1" x14ac:dyDescent="0.2"/>
  <cols>
    <col min="1" max="1" width="66.5" style="23" customWidth="1"/>
    <col min="2" max="2" width="8.83203125" style="31"/>
    <col min="3" max="3" width="30.1640625" style="23" customWidth="1"/>
    <col min="4" max="4" width="60.6640625" style="23" customWidth="1"/>
    <col min="5" max="5" width="54.33203125" style="23" customWidth="1"/>
    <col min="6" max="12" width="8.83203125" style="23"/>
    <col min="13" max="13" width="9.83203125" style="23" customWidth="1"/>
    <col min="14" max="17" width="8.83203125" style="23" hidden="1" customWidth="1"/>
    <col min="18" max="18" width="6.5" style="23" customWidth="1"/>
    <col min="19" max="16384" width="8.83203125" style="23"/>
  </cols>
  <sheetData>
    <row r="1" spans="1:5" s="3" customFormat="1" ht="15" customHeight="1" x14ac:dyDescent="0.25">
      <c r="A1" s="16" t="s">
        <v>214</v>
      </c>
    </row>
    <row r="2" spans="1:5" s="3" customFormat="1" ht="15" customHeight="1" x14ac:dyDescent="0.2">
      <c r="A2" s="68" t="s">
        <v>215</v>
      </c>
      <c r="B2" s="68"/>
      <c r="C2" s="68"/>
    </row>
    <row r="3" spans="1:5" s="3" customFormat="1" ht="15" customHeight="1" x14ac:dyDescent="0.2">
      <c r="A3" s="68" t="s">
        <v>216</v>
      </c>
      <c r="B3" s="68"/>
      <c r="C3" s="68"/>
    </row>
    <row r="4" spans="1:5" s="3" customFormat="1" ht="15" customHeight="1" x14ac:dyDescent="0.2">
      <c r="A4" s="20" t="s">
        <v>217</v>
      </c>
    </row>
    <row r="5" spans="1:5" s="3" customFormat="1" ht="15" customHeight="1" x14ac:dyDescent="0.2">
      <c r="A5" s="21" t="s">
        <v>218</v>
      </c>
    </row>
    <row r="6" spans="1:5" s="3" customFormat="1" ht="15" customHeight="1" x14ac:dyDescent="0.2">
      <c r="A6" s="21" t="s">
        <v>219</v>
      </c>
    </row>
    <row r="7" spans="1:5" s="3" customFormat="1" ht="15" customHeight="1" x14ac:dyDescent="0.2">
      <c r="A7" s="2" t="s">
        <v>220</v>
      </c>
    </row>
    <row r="8" spans="1:5" s="3" customFormat="1" ht="15" customHeight="1" x14ac:dyDescent="0.2">
      <c r="A8" s="9" t="s">
        <v>221</v>
      </c>
    </row>
    <row r="9" spans="1:5" s="3" customFormat="1" ht="15" customHeight="1" x14ac:dyDescent="0.2">
      <c r="A9" s="21"/>
    </row>
    <row r="10" spans="1:5" ht="15" customHeight="1" x14ac:dyDescent="0.2">
      <c r="A10" s="22" t="s">
        <v>222</v>
      </c>
      <c r="B10" s="22" t="s">
        <v>223</v>
      </c>
      <c r="C10" s="22" t="s">
        <v>224</v>
      </c>
    </row>
    <row r="11" spans="1:5" ht="15" customHeight="1" x14ac:dyDescent="0.2">
      <c r="A11" s="24" t="s">
        <v>48</v>
      </c>
      <c r="B11" s="25">
        <f>IFERROR(SUM('Step1. Assessment'!E5:E59)/(COUNTIF('Step1. Assessment'!D5:D59,"&lt;&gt;N/A")*4),0)</f>
        <v>0.75</v>
      </c>
      <c r="C11" s="26"/>
    </row>
    <row r="12" spans="1:5" ht="15" customHeight="1" x14ac:dyDescent="0.2">
      <c r="A12" s="24" t="s">
        <v>50</v>
      </c>
      <c r="B12" s="27" t="str">
        <f>IF(B11&lt;0.3,"Critical",IF(B11&lt;0.5,"Fragile",IF(B11&lt;0.7,"Developing",IF(B11&lt;0.85,"Operational","Mature"))))</f>
        <v>Operational</v>
      </c>
      <c r="C12" s="26"/>
      <c r="E12" s="3"/>
    </row>
    <row r="13" spans="1:5" ht="15" customHeight="1" x14ac:dyDescent="0.2">
      <c r="A13" s="24" t="s">
        <v>272</v>
      </c>
      <c r="B13" s="25">
        <f>(B11/'Step3. Activity &amp; Op Exposure'!C7)/(1+'Step2. Country Risk'!G2)</f>
        <v>0.22893772893772893</v>
      </c>
      <c r="C13" s="26"/>
      <c r="D13" s="28"/>
      <c r="E13" s="3"/>
    </row>
    <row r="14" spans="1:5" ht="15" customHeight="1" x14ac:dyDescent="0.2">
      <c r="A14" s="24" t="s">
        <v>225</v>
      </c>
      <c r="B14" s="27" t="str">
        <f>IF(B13&lt;0.3,"Critical",IF(B13&lt;0.5,"Fragile",IF(B13&lt;0.7,"Developing",IF(B13&lt;0.85,"Operational","Mature"))))</f>
        <v>Critical</v>
      </c>
      <c r="C14" s="26"/>
      <c r="D14" s="28"/>
      <c r="E14" s="3"/>
    </row>
    <row r="15" spans="1:5" ht="15" customHeight="1" x14ac:dyDescent="0.2">
      <c r="A15" s="29" t="s">
        <v>57</v>
      </c>
      <c r="B15" s="24" t="str">
        <f>IF(B13&lt;0.5,"Not sufficient for operating context and activities",IF(B13&lt;0.7,"Capability present but requires strengthening","Capability broadly appropriate for current risk profile"))</f>
        <v>Not sufficient for operating context and activities</v>
      </c>
      <c r="C15" s="30"/>
      <c r="E15" s="3"/>
    </row>
    <row r="16" spans="1:5" ht="15" customHeight="1" x14ac:dyDescent="0.2">
      <c r="B16" s="23"/>
      <c r="E16" s="3"/>
    </row>
    <row r="17" spans="1:5" ht="15" customHeight="1" x14ac:dyDescent="0.2">
      <c r="E17" s="3"/>
    </row>
    <row r="18" spans="1:5" ht="15" customHeight="1" x14ac:dyDescent="0.2">
      <c r="A18" s="22" t="s">
        <v>226</v>
      </c>
      <c r="B18" s="22" t="s">
        <v>227</v>
      </c>
      <c r="E18" s="3"/>
    </row>
    <row r="19" spans="1:5" ht="15" customHeight="1" x14ac:dyDescent="0.2">
      <c r="A19" s="30" t="s">
        <v>138</v>
      </c>
      <c r="B19" s="65">
        <f>COUNTIF('Step1. Assessment'!D5:D59,"No / None")</f>
        <v>0</v>
      </c>
    </row>
    <row r="20" spans="1:5" ht="15" customHeight="1" x14ac:dyDescent="0.2">
      <c r="A20" s="30" t="s">
        <v>228</v>
      </c>
      <c r="B20" s="65">
        <f>COUNTIF('Step1. Assessment'!D5:D59,"Ad hoc / Informal")</f>
        <v>0</v>
      </c>
    </row>
    <row r="21" spans="1:5" ht="15" customHeight="1" x14ac:dyDescent="0.2">
      <c r="A21" s="30" t="s">
        <v>229</v>
      </c>
      <c r="B21" s="65">
        <f>COUNTIF('Step1. Assessment'!D5:D59,"Partial / Infrequent")</f>
        <v>0</v>
      </c>
    </row>
    <row r="22" spans="1:5" ht="15" customHeight="1" x14ac:dyDescent="0.2">
      <c r="A22" s="30" t="s">
        <v>109</v>
      </c>
      <c r="B22" s="65">
        <f>COUNTIF('Step1. Assessment'!D5:D59,"Formal")</f>
        <v>55</v>
      </c>
    </row>
    <row r="23" spans="1:5" ht="15" customHeight="1" x14ac:dyDescent="0.2">
      <c r="A23" s="30" t="s">
        <v>230</v>
      </c>
      <c r="B23" s="65">
        <f>COUNTIF('Step1. Assessment'!D5:D59,"Embedded")</f>
        <v>0</v>
      </c>
    </row>
    <row r="24" spans="1:5" ht="15" customHeight="1" x14ac:dyDescent="0.2">
      <c r="A24" s="30" t="s">
        <v>231</v>
      </c>
      <c r="B24" s="65">
        <f>COUNTIF('Step1. Assessment'!D5:D59,"N/A")</f>
        <v>0</v>
      </c>
    </row>
    <row r="25" spans="1:5" ht="15" customHeight="1" x14ac:dyDescent="0.2">
      <c r="B25" s="39"/>
    </row>
    <row r="26" spans="1:5" ht="15" customHeight="1" x14ac:dyDescent="0.2">
      <c r="B26" s="39"/>
      <c r="D26" s="3"/>
    </row>
    <row r="27" spans="1:5" ht="15" customHeight="1" x14ac:dyDescent="0.2">
      <c r="A27" s="55" t="s">
        <v>95</v>
      </c>
      <c r="B27" s="55" t="s">
        <v>98</v>
      </c>
      <c r="C27" s="55" t="s">
        <v>232</v>
      </c>
      <c r="D27" s="3"/>
    </row>
    <row r="28" spans="1:5" ht="15" customHeight="1" x14ac:dyDescent="0.2">
      <c r="A28" s="56" t="s">
        <v>99</v>
      </c>
      <c r="B28" s="64">
        <f>IFERROR(AVERAGEIF('Step1. Assessment'!B:B,"Governance",'Step1. Assessment'!E:E)/4,0)*100</f>
        <v>75</v>
      </c>
      <c r="C28" s="64" t="str">
        <f>IF(B28&lt;50,"High",IF(B28&lt;=70,"Medium","Low"))</f>
        <v>Low</v>
      </c>
    </row>
    <row r="29" spans="1:5" ht="15" customHeight="1" x14ac:dyDescent="0.2">
      <c r="A29" s="56" t="s">
        <v>113</v>
      </c>
      <c r="B29" s="64">
        <f>IFERROR(AVERAGEIF('Step1. Assessment'!B:B,"Risk",'Step1. Assessment'!E:E)/4,0)*100</f>
        <v>75</v>
      </c>
      <c r="C29" s="64" t="str">
        <f t="shared" ref="C29:C33" si="0">IF(B29&lt;50,"High",IF(B29&lt;=70,"Medium","Low"))</f>
        <v>Low</v>
      </c>
      <c r="E29" s="63" t="s">
        <v>254</v>
      </c>
    </row>
    <row r="30" spans="1:5" ht="15" customHeight="1" x14ac:dyDescent="0.2">
      <c r="A30" s="56" t="s">
        <v>127</v>
      </c>
      <c r="B30" s="64">
        <f>IFERROR(AVERAGEIF('Step1. Assessment'!B:B,"Security",'Step1. Assessment'!E:E)/4,0)*100</f>
        <v>75</v>
      </c>
      <c r="C30" s="64" t="str">
        <f t="shared" si="0"/>
        <v>Low</v>
      </c>
    </row>
    <row r="31" spans="1:5" ht="15" customHeight="1" x14ac:dyDescent="0.2">
      <c r="A31" s="56" t="s">
        <v>149</v>
      </c>
      <c r="B31" s="64">
        <f>IFERROR(AVERAGEIF('Step1. Assessment'!B:B,"Crisis",'Step1. Assessment'!E:E)/4,0)*100</f>
        <v>75</v>
      </c>
      <c r="C31" s="64" t="str">
        <f t="shared" si="0"/>
        <v>Low</v>
      </c>
    </row>
    <row r="32" spans="1:5" ht="15" customHeight="1" x14ac:dyDescent="0.2">
      <c r="A32" s="56" t="s">
        <v>165</v>
      </c>
      <c r="B32" s="64">
        <f>IFERROR(AVERAGEIF('Step1. Assessment'!B:B,"BCP",'Step1. Assessment'!E:E)/4,0)*100</f>
        <v>75</v>
      </c>
      <c r="C32" s="64" t="str">
        <f t="shared" si="0"/>
        <v>Low</v>
      </c>
    </row>
    <row r="33" spans="1:4" ht="15" customHeight="1" x14ac:dyDescent="0.2">
      <c r="A33" s="56" t="s">
        <v>177</v>
      </c>
      <c r="B33" s="64">
        <f>IFERROR(AVERAGEIF('Step1. Assessment'!B:B,"People",'Step1. Assessment'!E:E)/4,0)*100</f>
        <v>75</v>
      </c>
      <c r="C33" s="64" t="str">
        <f t="shared" si="0"/>
        <v>Low</v>
      </c>
    </row>
    <row r="34" spans="1:4" ht="15" customHeight="1" x14ac:dyDescent="0.2">
      <c r="A34" s="56" t="s">
        <v>185</v>
      </c>
      <c r="B34" s="64">
        <f>IFERROR(AVERAGEIF('Step1. Assessment'!B:B,"Operations",'Step1. Assessment'!E:E)/4,0)*100</f>
        <v>75</v>
      </c>
      <c r="C34" s="64" t="str">
        <f t="shared" ref="C34:C35" si="1">IF(B34&lt;50,"High",IF(B34&lt;70,"Medium","Low"))</f>
        <v>Low</v>
      </c>
    </row>
    <row r="35" spans="1:4" ht="15" customHeight="1" x14ac:dyDescent="0.2">
      <c r="A35" s="56" t="s">
        <v>192</v>
      </c>
      <c r="B35" s="64">
        <f>IFERROR(AVERAGEIF('Step1. Assessment'!B:B,"Assurance",'Step1. Assessment'!E:E)/4,0)*100</f>
        <v>75</v>
      </c>
      <c r="C35" s="64" t="str">
        <f t="shared" si="1"/>
        <v>Low</v>
      </c>
    </row>
    <row r="36" spans="1:4" ht="15" customHeight="1" x14ac:dyDescent="0.2">
      <c r="C36" s="54"/>
    </row>
    <row r="40" spans="1:4" ht="15" customHeight="1" x14ac:dyDescent="0.2">
      <c r="A40" s="53"/>
      <c r="B40" s="57"/>
      <c r="C40" s="53"/>
      <c r="D40" s="53"/>
    </row>
    <row r="41" spans="1:4" ht="15" customHeight="1" x14ac:dyDescent="0.2">
      <c r="A41" s="53"/>
      <c r="B41" s="57"/>
      <c r="C41" s="53"/>
      <c r="D41" s="53"/>
    </row>
    <row r="42" spans="1:4" ht="15" customHeight="1" x14ac:dyDescent="0.2">
      <c r="A42" s="53"/>
      <c r="B42" s="57"/>
      <c r="C42" s="53"/>
      <c r="D42" s="53"/>
    </row>
    <row r="43" spans="1:4" ht="15" customHeight="1" x14ac:dyDescent="0.2">
      <c r="A43" s="53"/>
      <c r="B43" s="57"/>
      <c r="C43" s="53"/>
      <c r="D43" s="53"/>
    </row>
    <row r="44" spans="1:4" ht="15" customHeight="1" x14ac:dyDescent="0.2">
      <c r="A44" s="53"/>
      <c r="B44" s="57"/>
      <c r="C44" s="53"/>
      <c r="D44" s="53"/>
    </row>
    <row r="45" spans="1:4" ht="15" customHeight="1" x14ac:dyDescent="0.2">
      <c r="A45" s="53"/>
      <c r="B45" s="57"/>
      <c r="C45" s="53"/>
      <c r="D45" s="53"/>
    </row>
    <row r="46" spans="1:4" ht="15" customHeight="1" x14ac:dyDescent="0.2">
      <c r="A46" s="53"/>
      <c r="B46" s="57"/>
      <c r="C46" s="53"/>
      <c r="D46" s="53"/>
    </row>
    <row r="47" spans="1:4" ht="15" customHeight="1" x14ac:dyDescent="0.2">
      <c r="A47" s="53"/>
      <c r="B47" s="57"/>
      <c r="C47" s="53"/>
      <c r="D47" s="53"/>
    </row>
    <row r="48" spans="1:4" ht="15" customHeight="1" x14ac:dyDescent="0.2">
      <c r="A48" s="53"/>
      <c r="B48" s="57"/>
      <c r="C48" s="53"/>
      <c r="D48" s="53"/>
    </row>
  </sheetData>
  <mergeCells count="2">
    <mergeCell ref="A2:C2"/>
    <mergeCell ref="A3:C3"/>
  </mergeCells>
  <conditionalFormatting sqref="B12 B14">
    <cfRule type="cellIs" dxfId="7" priority="1" operator="equal">
      <formula>"Mature"</formula>
    </cfRule>
    <cfRule type="cellIs" dxfId="6" priority="2" operator="equal">
      <formula>"Developing"</formula>
    </cfRule>
    <cfRule type="cellIs" dxfId="5" priority="3" operator="equal">
      <formula>"Developing"</formula>
    </cfRule>
    <cfRule type="cellIs" dxfId="4" priority="4" operator="equal">
      <formula>"Fragile"</formula>
    </cfRule>
    <cfRule type="cellIs" dxfId="3" priority="5" operator="equal">
      <formula>"Critical"</formula>
    </cfRule>
  </conditionalFormatting>
  <conditionalFormatting sqref="C28:C35">
    <cfRule type="cellIs" dxfId="2" priority="6" operator="equal">
      <formula>"Low"</formula>
    </cfRule>
    <cfRule type="cellIs" dxfId="1" priority="7" operator="equal">
      <formula>"Medium"</formula>
    </cfRule>
    <cfRule type="cellIs" dxfId="0" priority="8" operator="equal">
      <formula>"High"</formula>
    </cfRule>
  </conditionalFormatting>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E5AA0"/>
  </sheetPr>
  <dimension ref="A1:D31"/>
  <sheetViews>
    <sheetView showGridLines="0" tabSelected="1" zoomScale="90" zoomScaleNormal="90" workbookViewId="0">
      <pane ySplit="1" topLeftCell="A2" activePane="bottomLeft" state="frozen"/>
      <selection activeCell="C7" sqref="C7"/>
      <selection pane="bottomLeft"/>
    </sheetView>
  </sheetViews>
  <sheetFormatPr baseColWidth="10" defaultColWidth="8.83203125" defaultRowHeight="15" x14ac:dyDescent="0.2"/>
  <cols>
    <col min="1" max="1" width="127.33203125" style="15" customWidth="1"/>
    <col min="2" max="16384" width="8.83203125" style="1"/>
  </cols>
  <sheetData>
    <row r="1" spans="1:2" ht="19" x14ac:dyDescent="0.25">
      <c r="A1" s="69" t="s">
        <v>233</v>
      </c>
    </row>
    <row r="2" spans="1:2" ht="19" x14ac:dyDescent="0.25">
      <c r="A2" s="16"/>
    </row>
    <row r="3" spans="1:2" ht="16" x14ac:dyDescent="0.2">
      <c r="A3" s="17" t="s">
        <v>234</v>
      </c>
    </row>
    <row r="4" spans="1:2" ht="96" x14ac:dyDescent="0.2">
      <c r="A4" s="18" t="s">
        <v>235</v>
      </c>
      <c r="B4" s="60" t="s">
        <v>236</v>
      </c>
    </row>
    <row r="5" spans="1:2" ht="19" x14ac:dyDescent="0.25">
      <c r="A5" s="16"/>
    </row>
    <row r="6" spans="1:2" ht="19" x14ac:dyDescent="0.25">
      <c r="A6" s="59"/>
      <c r="B6" s="7" t="s">
        <v>237</v>
      </c>
    </row>
    <row r="7" spans="1:2" ht="19" x14ac:dyDescent="0.25">
      <c r="A7" s="59"/>
      <c r="B7" s="5" t="s">
        <v>238</v>
      </c>
    </row>
    <row r="8" spans="1:2" x14ac:dyDescent="0.2">
      <c r="A8" s="18"/>
    </row>
    <row r="9" spans="1:2" ht="16" x14ac:dyDescent="0.2">
      <c r="A9" s="17" t="s">
        <v>239</v>
      </c>
    </row>
    <row r="10" spans="1:2" ht="16" x14ac:dyDescent="0.2">
      <c r="A10" s="19" t="str">
        <f>"Theoretical readiness: " &amp; TEXT('Step4. Dashboard'!B11,"0%")&amp; " | Actual readiness: " &amp; TEXT('Step4. Dashboard'!B13,"0%")</f>
        <v>Theoretical readiness: 75% | Actual readiness: 23%</v>
      </c>
    </row>
    <row r="11" spans="1:2" ht="16" x14ac:dyDescent="0.2">
      <c r="A11" s="19" t="str">
        <f>"Actual readiness level: " &amp; 'Step4. Dashboard'!B12 &amp; " | Overall assessment: " &amp; 'Step4. Dashboard'!B15</f>
        <v>Actual readiness level: Operational | Overall assessment: Not sufficient for operating context and activities</v>
      </c>
    </row>
    <row r="12" spans="1:2" ht="16" x14ac:dyDescent="0.2">
      <c r="A12" s="18" t="str">
        <f>IF('Step4. Dashboard'!B13&lt;'Step4. Dashboard'!B11,"The actual readiness score is lower than the theoretical score, indicating that current capability may not be sufficient for the organisation’s level of operational exposure.","Actual readiness is broadly aligned with current capability.")</f>
        <v>The actual readiness score is lower than the theoretical score, indicating that current capability may not be sufficient for the organisation’s level of operational exposure.</v>
      </c>
    </row>
    <row r="13" spans="1:2" ht="16" customHeight="1" x14ac:dyDescent="0.2">
      <c r="A13" s="18"/>
    </row>
    <row r="14" spans="1:2" ht="16" x14ac:dyDescent="0.2">
      <c r="A14" s="17" t="s">
        <v>240</v>
      </c>
    </row>
    <row r="15" spans="1:2" ht="32" x14ac:dyDescent="0.2">
      <c r="A15" s="18" t="s">
        <v>241</v>
      </c>
    </row>
    <row r="16" spans="1:2" x14ac:dyDescent="0.2">
      <c r="A16" s="18"/>
    </row>
    <row r="17" spans="1:4" ht="32" x14ac:dyDescent="0.2">
      <c r="A17" s="18" t="s">
        <v>242</v>
      </c>
    </row>
    <row r="18" spans="1:4" x14ac:dyDescent="0.2">
      <c r="A18" s="18"/>
    </row>
    <row r="19" spans="1:4" ht="16" x14ac:dyDescent="0.2">
      <c r="A19" s="17" t="s">
        <v>243</v>
      </c>
    </row>
    <row r="20" spans="1:4" ht="32" x14ac:dyDescent="0.2">
      <c r="A20" s="18" t="s">
        <v>244</v>
      </c>
    </row>
    <row r="21" spans="1:4" x14ac:dyDescent="0.2">
      <c r="A21" s="18"/>
    </row>
    <row r="22" spans="1:4" ht="16" x14ac:dyDescent="0.2">
      <c r="A22" s="61" t="str">
        <f>IF(COUNTIF('Step4. Dashboard'!C28:C35,"High")=8,"All core capability areas have been identified as high priority,indicating that organisational capability is not currently aligned with operational demands. A broad-based strengthening approach is required.","These areas represent the most important opportunities to strengthen capability in relation to your current operating context.")</f>
        <v>These areas represent the most important opportunities to strengthen capability in relation to your current operating context.</v>
      </c>
      <c r="C22" s="2"/>
      <c r="D22" s="2" t="s">
        <v>253</v>
      </c>
    </row>
    <row r="23" spans="1:4" x14ac:dyDescent="0.2">
      <c r="A23" s="61" t="e">
        <f>"1. " &amp;#REF!</f>
        <v>#REF!</v>
      </c>
      <c r="C23" s="62" t="s">
        <v>245</v>
      </c>
      <c r="D23" s="2"/>
    </row>
    <row r="24" spans="1:4" x14ac:dyDescent="0.2">
      <c r="A24" s="61" t="e">
        <f>"2. " &amp;#REF!</f>
        <v>#REF!</v>
      </c>
      <c r="C24" s="62" t="s">
        <v>246</v>
      </c>
      <c r="D24" s="2"/>
    </row>
    <row r="25" spans="1:4" x14ac:dyDescent="0.2">
      <c r="A25" s="61" t="e">
        <f>"3. " &amp;#REF!</f>
        <v>#REF!</v>
      </c>
      <c r="C25" s="62" t="s">
        <v>247</v>
      </c>
      <c r="D25" s="2"/>
    </row>
    <row r="26" spans="1:4" x14ac:dyDescent="0.2">
      <c r="A26" s="18"/>
      <c r="C26" s="62" t="s">
        <v>248</v>
      </c>
      <c r="D26" s="2"/>
    </row>
    <row r="27" spans="1:4" x14ac:dyDescent="0.2">
      <c r="A27" s="1"/>
      <c r="C27" s="62" t="s">
        <v>249</v>
      </c>
      <c r="D27" s="2"/>
    </row>
    <row r="28" spans="1:4" x14ac:dyDescent="0.2">
      <c r="A28" s="1"/>
      <c r="C28" s="62" t="s">
        <v>250</v>
      </c>
      <c r="D28" s="2"/>
    </row>
    <row r="29" spans="1:4" x14ac:dyDescent="0.2">
      <c r="A29" s="58"/>
      <c r="C29" s="62" t="s">
        <v>251</v>
      </c>
      <c r="D29" s="2"/>
    </row>
    <row r="30" spans="1:4" x14ac:dyDescent="0.2">
      <c r="A30" s="58"/>
      <c r="C30" s="62" t="s">
        <v>252</v>
      </c>
      <c r="D30" s="2"/>
    </row>
    <row r="31" spans="1:4" x14ac:dyDescent="0.2">
      <c r="C31" s="2"/>
      <c r="D31" s="2"/>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8FEC3-C81C-7F4F-BA6C-F3448910685C}">
  <dimension ref="A1"/>
  <sheetViews>
    <sheetView showGridLines="0" workbookViewId="0">
      <selection activeCell="L22" sqref="L22"/>
    </sheetView>
  </sheetViews>
  <sheetFormatPr baseColWidth="10" defaultRowHeight="15" x14ac:dyDescent="0.2"/>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A1B09-7C0F-DD46-85AE-E5FE44E3484D}">
  <dimension ref="A1"/>
  <sheetViews>
    <sheetView showGridLines="0" workbookViewId="0">
      <selection activeCell="G27" sqref="G27"/>
    </sheetView>
  </sheetViews>
  <sheetFormatPr baseColWidth="10" defaultRowHeight="15" x14ac:dyDescent="0.2"/>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40A5B49A83CFE479C2297D37EF08D7A" ma:contentTypeVersion="4" ma:contentTypeDescription="Create a new document." ma:contentTypeScope="" ma:versionID="267f11f88100e1b47f766689dd0486eb">
  <xsd:schema xmlns:xsd="http://www.w3.org/2001/XMLSchema" xmlns:xs="http://www.w3.org/2001/XMLSchema" xmlns:p="http://schemas.microsoft.com/office/2006/metadata/properties" xmlns:ns2="2de0a1c4-fdb9-4f81-886f-13b15ab1c5aa" targetNamespace="http://schemas.microsoft.com/office/2006/metadata/properties" ma:root="true" ma:fieldsID="03871c48048fd4a6e3c8f86befd4e9aa" ns2:_="">
    <xsd:import namespace="2de0a1c4-fdb9-4f81-886f-13b15ab1c5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e0a1c4-fdb9-4f81-886f-13b15ab1c5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3652C0-B1B0-4C7C-BB4C-BFECFDE70060}">
  <ds:schemaRefs>
    <ds:schemaRef ds:uri="http://schemas.openxmlformats.org/package/2006/metadata/core-properties"/>
    <ds:schemaRef ds:uri="http://purl.org/dc/dcmitype/"/>
    <ds:schemaRef ds:uri="http://schemas.microsoft.com/office/2006/metadata/properties"/>
    <ds:schemaRef ds:uri="http://schemas.microsoft.com/office/infopath/2007/PartnerControls"/>
    <ds:schemaRef ds:uri="http://purl.org/dc/terms/"/>
    <ds:schemaRef ds:uri="http://www.w3.org/XML/1998/namespace"/>
    <ds:schemaRef ds:uri="http://schemas.microsoft.com/office/2006/documentManagement/types"/>
    <ds:schemaRef ds:uri="2de0a1c4-fdb9-4f81-886f-13b15ab1c5aa"/>
    <ds:schemaRef ds:uri="http://purl.org/dc/elements/1.1/"/>
  </ds:schemaRefs>
</ds:datastoreItem>
</file>

<file path=customXml/itemProps2.xml><?xml version="1.0" encoding="utf-8"?>
<ds:datastoreItem xmlns:ds="http://schemas.openxmlformats.org/officeDocument/2006/customXml" ds:itemID="{A0F619B8-CB9D-4D58-83F6-713FA1F33B9A}">
  <ds:schemaRefs>
    <ds:schemaRef ds:uri="http://schemas.microsoft.com/sharepoint/v3/contenttype/forms"/>
  </ds:schemaRefs>
</ds:datastoreItem>
</file>

<file path=customXml/itemProps3.xml><?xml version="1.0" encoding="utf-8"?>
<ds:datastoreItem xmlns:ds="http://schemas.openxmlformats.org/officeDocument/2006/customXml" ds:itemID="{EBFF7428-B2E1-4FC0-88E9-EF0882B9A9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e0a1c4-fdb9-4f81-886f-13b15ab1c5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CLIENT USER GUIDE</vt:lpstr>
      <vt:lpstr>Step1. Assessment</vt:lpstr>
      <vt:lpstr>Step2. Country Risk</vt:lpstr>
      <vt:lpstr>Step3. Activity &amp; Op Exposure</vt:lpstr>
      <vt:lpstr>Step4. Dashboard</vt:lpstr>
      <vt:lpstr>STEP5. Acting on Your Results</vt:lpstr>
      <vt:lpstr>Copyright</vt:lpstr>
      <vt:lpstr>About Maravi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Neill</dc:creator>
  <cp:keywords/>
  <dc:description/>
  <cp:lastModifiedBy>Tim Neill</cp:lastModifiedBy>
  <cp:revision/>
  <dcterms:created xsi:type="dcterms:W3CDTF">2026-05-20T06:41:09Z</dcterms:created>
  <dcterms:modified xsi:type="dcterms:W3CDTF">2026-06-23T07:28:05Z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0x010100B40A5B49A83CFE479C2297D37EF08D7A</vt:lpwstr>
  </property>
</Properties>
</file>